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  <sheet state="visible" name="sprint0" sheetId="2" r:id="rId5"/>
    <sheet state="visible" name="burdonchart" sheetId="3" r:id="rId6"/>
  </sheets>
  <definedNames/>
  <calcPr/>
</workbook>
</file>

<file path=xl/sharedStrings.xml><?xml version="1.0" encoding="utf-8"?>
<sst xmlns="http://schemas.openxmlformats.org/spreadsheetml/2006/main" count="412" uniqueCount="269">
  <si>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</si>
  <si>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</si>
  <si>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</si>
  <si>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</si>
  <si>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</si>
  <si>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</si>
  <si>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</si>
  <si>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</si>
  <si>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RF01 Mingo</t>
  </si>
  <si>
    <t>Registro de usuarios</t>
  </si>
  <si>
    <t>Usuario</t>
  </si>
  <si>
    <t>Necesito administrar a los usuarios nuevos que se registran en la aplicación MinGo.</t>
  </si>
  <si>
    <t>Garantizar que el sistema almacene y gestione correctamente la información de los usuarios registrados.</t>
  </si>
  <si>
    <t>Obligatorio</t>
  </si>
  <si>
    <t>En Proceso</t>
  </si>
  <si>
    <t>RF02 Mingo</t>
  </si>
  <si>
    <t>Inicio de sesión</t>
  </si>
  <si>
    <t>Iniciar sesión en la aplicación MinGo mediante las credenciales previamente ingresadas.</t>
  </si>
  <si>
    <t>Acceder de forma segura a todas las funcionalidades permitidas según mi rol.</t>
  </si>
  <si>
    <t>RF03 Mingo</t>
  </si>
  <si>
    <t>Categorizar aprendizaje de señas por edad del niño</t>
  </si>
  <si>
    <t>Padre</t>
  </si>
  <si>
    <t>Lograr seleccionar la categoría de aprendizaje de señas según la edad de mi hijo.</t>
  </si>
  <si>
    <t>Recibir contenido adaptado al nivel de desarrollo y aprendizaje del niño.</t>
  </si>
  <si>
    <t>RF04 Mingo</t>
  </si>
  <si>
    <t>Enlazar clase</t>
  </si>
  <si>
    <t>Enlazarme a una clase proporcionada por el docente mediante un código o enlace.</t>
  </si>
  <si>
    <t>Acceder a las lecciones y actividades correspondientes a la clase asignada.</t>
  </si>
  <si>
    <t>RF05 Mingo</t>
  </si>
  <si>
    <t>Categorizar frases comunes</t>
  </si>
  <si>
    <t>Acceder a frases comunes clasificadas en categorías</t>
  </si>
  <si>
    <t>Aprender y enseñar frases útiles de forma organizada y progresiva</t>
  </si>
  <si>
    <t>RF06 Mingo</t>
  </si>
  <si>
    <t xml:space="preserve">Generar código de clase </t>
  </si>
  <si>
    <t>Docente</t>
  </si>
  <si>
    <t>Generar un código único para cada nueva clase</t>
  </si>
  <si>
    <t>Permitir que los padres se unan a la clase correspondiente de manera controlada.</t>
  </si>
  <si>
    <t>RF07 Mingo</t>
  </si>
  <si>
    <t>Importar contenido</t>
  </si>
  <si>
    <t>Importar contenido educativo al sistema (videos, imágenes, actividades, señas).</t>
  </si>
  <si>
    <t>Incorporar nuevo material para las clases y enriquecer el proceso de enseñanza.</t>
  </si>
  <si>
    <t>RF08 Mingo</t>
  </si>
  <si>
    <t xml:space="preserve">Visualizar progreso del padre </t>
  </si>
  <si>
    <t>Visualizar el progreso de los padres en el aprendizaje de señas.</t>
  </si>
  <si>
    <t>Realizar seguimiento, identificar avances o dificultades y ajustar la enseñanza.</t>
  </si>
  <si>
    <t>RF09 Mingo</t>
  </si>
  <si>
    <t>Ver historial de palabras aprendidas</t>
  </si>
  <si>
    <t>Consultar el historial de palabras aprendidas por cada padre.</t>
  </si>
  <si>
    <t>Evaluar su evolución y planificar retroalimentación personalizada.</t>
  </si>
  <si>
    <t>RF10 Mingo</t>
  </si>
  <si>
    <t>Descargar contenido del sistema</t>
  </si>
  <si>
    <t>Descargar contenido educativo desde la aplicación.</t>
  </si>
  <si>
    <t>Practicar las señas sin conexión y reforzar mi aprendizaje en casa.</t>
  </si>
  <si>
    <t>RF11 Mingo</t>
  </si>
  <si>
    <t>Acceder a contenido exclusivo</t>
  </si>
  <si>
    <t>Acceder a contenido exclusivo disponible según mi tipo de suscripción o clase.</t>
  </si>
  <si>
    <t>Obtener material adicional que complementa el aprendizaje de señas.</t>
  </si>
  <si>
    <t>RF12 Mingo</t>
  </si>
  <si>
    <t>Guía por funcionalidad del sistema</t>
  </si>
  <si>
    <t>Implementar un componente de tour interactivo que detecte el primer inicio de sesión del actor.</t>
  </si>
  <si>
    <t>Asegurar que el usuario comprenda el flujo de la aplicación, reduciendo la confusión y el abandono por no saber cómo empezar.</t>
  </si>
  <si>
    <t>Conveniente</t>
  </si>
  <si>
    <t>RF13 Mingo</t>
  </si>
  <si>
    <t>Realizar prueba de conocimiento</t>
  </si>
  <si>
    <t>Implementar un formulario validado que envíe los datos a un algoritmo, el cual guardará el nivel y categoría del usuario antes de redirigirlo al siguiente módulo.</t>
  </si>
  <si>
    <t>Asegurar un flujo preciso del usuario para personalizar su experiencia, garantizando que se guarde correctamente antes de avanzar en el sistema.</t>
  </si>
  <si>
    <t>RF14 Mingo</t>
  </si>
  <si>
    <t>Filtrar contenido</t>
  </si>
  <si>
    <t>Implementar la búsqueda que filtre por coincidencias de texto y ordene los resultados por contador de visualizaciones, validando entradas vacías.</t>
  </si>
  <si>
    <t>Agilizar la localización de contenidos específicos entregando resultados priorizados por relevancia.</t>
  </si>
  <si>
    <t>SPRINT 0</t>
  </si>
  <si>
    <t>Necesito</t>
  </si>
  <si>
    <t>así podre...</t>
  </si>
  <si>
    <t>encargado</t>
  </si>
  <si>
    <t>Prioridad</t>
  </si>
  <si>
    <t>Status</t>
  </si>
  <si>
    <t>RF01</t>
  </si>
  <si>
    <t>RF01-1</t>
  </si>
  <si>
    <t>Crear la maqueta o prototipo del formulario</t>
  </si>
  <si>
    <t>RF01-2</t>
  </si>
  <si>
    <t>Definir los campos obligatorios (ej: nombre, correo, contraseña)</t>
  </si>
  <si>
    <t>RF01-3</t>
  </si>
  <si>
    <t>Definir mensajes de validación (correo inválido, contraseña débil).</t>
  </si>
  <si>
    <t>RF01-4</t>
  </si>
  <si>
    <t>Implementar el formulario en la aplicación</t>
  </si>
  <si>
    <t>RF01-5</t>
  </si>
  <si>
    <t>Enviar los datos al endpoint de registro.</t>
  </si>
  <si>
    <t>RF01-6</t>
  </si>
  <si>
    <t>Mostrar mensajes al usuario según la respuesta (éxito/error).</t>
  </si>
  <si>
    <t>RF01-7</t>
  </si>
  <si>
    <t>Verificar que no permita enviar campos vacíos.</t>
  </si>
  <si>
    <t>RF01-8</t>
  </si>
  <si>
    <t>Verificar que no permita formato incorrecto.</t>
  </si>
  <si>
    <t>RF01-9</t>
  </si>
  <si>
    <t>Verificar que se envíen datos correctamente al backend.</t>
  </si>
  <si>
    <t>RF02</t>
  </si>
  <si>
    <t>RF02-1</t>
  </si>
  <si>
    <t>Definir los datos necesarios para iniciar sesión (correo/usuario y contraseña).</t>
  </si>
  <si>
    <t>RF02-2</t>
  </si>
  <si>
    <t>Establecer las reglas de autenticación (comparar contraseña encriptada, validar usuario activo).</t>
  </si>
  <si>
    <t>RF02-3</t>
  </si>
  <si>
    <t>Definir cómo se manejará la sesión: Token JWT, Cookie de sesión y Tiempo de expiración</t>
  </si>
  <si>
    <t>RF02-4</t>
  </si>
  <si>
    <t>Crear formulario de inicio de sesión con: Email o usuario y Contraseña</t>
  </si>
  <si>
    <t>RF02-5</t>
  </si>
  <si>
    <t>Implementar validaciones en frontend: Campos vacíos y Formato válido de correo</t>
  </si>
  <si>
    <t>RF02-6</t>
  </si>
  <si>
    <t>Enviar las credenciales al endpoint de login.</t>
  </si>
  <si>
    <t>RF02-7</t>
  </si>
  <si>
    <t>Guardar token en localStorage/sessionStorage (o cookie segura).</t>
  </si>
  <si>
    <t>RF02-8</t>
  </si>
  <si>
    <t>Redirigir a la pantalla principal según el rol.</t>
  </si>
  <si>
    <t>RFQ03</t>
  </si>
  <si>
    <t>RF03-1</t>
  </si>
  <si>
    <t>Implementar un listado de las diferentes categorias que existes segun el tipo de aprendizaje</t>
  </si>
  <si>
    <t>RF03-2</t>
  </si>
  <si>
    <t>Definir estilos de plantilla maquetada como base para crear el listado de categorias</t>
  </si>
  <si>
    <t>RF03-3</t>
  </si>
  <si>
    <t>Crear los widgets visuales para cada categoría</t>
  </si>
  <si>
    <t>RF03-4</t>
  </si>
  <si>
    <t>Integrar los widgets ReQ003-4 en una pantalla donde el padre hace la selección obligatoria antes de entrar al contenido.</t>
  </si>
  <si>
    <t>RF03-5</t>
  </si>
  <si>
    <t>Crear un filtro básico que, según la edad seleccionada, muestre una lista de prueba diferente</t>
  </si>
  <si>
    <t>RF03-6</t>
  </si>
  <si>
    <t>Verificar que al cerrar y abrir la app, la categoría de edad seleccionada se mantiene.</t>
  </si>
  <si>
    <t>RF06</t>
  </si>
  <si>
    <t>RF06-1</t>
  </si>
  <si>
    <t>Diseñar una pantalla o módulo llamado "Mis Clases" o "Crear Clase".</t>
  </si>
  <si>
    <t>RF06-2</t>
  </si>
  <si>
    <t>Incluir botones: Crear nueva clase, generar código, copiar código y actualizar código (si es permitido)</t>
  </si>
  <si>
    <t>RF06-3</t>
  </si>
  <si>
    <t>Creación de un formulario para la creación de clase</t>
  </si>
  <si>
    <t>RF06-4</t>
  </si>
  <si>
    <t>Validaciones del formulario</t>
  </si>
  <si>
    <t>SPRINT 1</t>
  </si>
  <si>
    <t>RF05-1</t>
  </si>
  <si>
    <t>Diseñar una pantalla o sección llamada “Frases Comunes”</t>
  </si>
  <si>
    <t>RF05-2</t>
  </si>
  <si>
    <t>Desarrollar un menu para el usuario</t>
  </si>
  <si>
    <t>RF05-3</t>
  </si>
  <si>
    <t>Realizar paginación 10 archivos ya sea imagenes o videos por página</t>
  </si>
  <si>
    <t>RF04-1</t>
  </si>
  <si>
    <t>Título: “Unirse a una clase”</t>
  </si>
  <si>
    <t>RF04-2</t>
  </si>
  <si>
    <t>Campo de texto para ingresar el código</t>
  </si>
  <si>
    <t>RF04-3</t>
  </si>
  <si>
    <t>Botón “Enlazar”</t>
  </si>
  <si>
    <t>RF04-4</t>
  </si>
  <si>
    <t>Indicador de carga mientras se procesa</t>
  </si>
  <si>
    <t>RF07-1</t>
  </si>
  <si>
    <t>Crear pantalla o sección “Importar contenido”.</t>
  </si>
  <si>
    <t>RF07-2</t>
  </si>
  <si>
    <t>Agregar botón para seleccionar tipo de contenido (imagen, video, actividad, seña).</t>
  </si>
  <si>
    <t>RF07-3</t>
  </si>
  <si>
    <t>Implementar formulario con campo para subir archivo.</t>
  </si>
  <si>
    <t>RF07-4</t>
  </si>
  <si>
    <t>Validar tipo de archivo permitido y tamaño</t>
  </si>
  <si>
    <t>RF07-5</t>
  </si>
  <si>
    <t>Mostrar barra o indicador de progreso de la subida.</t>
  </si>
  <si>
    <t>RF07-6</t>
  </si>
  <si>
    <t>Mostrar mensajes de éxito o error según la respuesta de la API.</t>
  </si>
  <si>
    <t>RF07-7</t>
  </si>
  <si>
    <t>Limpiar el formulario cuando la subida termine.</t>
  </si>
  <si>
    <t>RF07-8</t>
  </si>
  <si>
    <t>Actualizar la lista de contenidos disponibles (si la vista lo requiere).</t>
  </si>
  <si>
    <t>RF10-1</t>
  </si>
  <si>
    <t>Crear pantalla o sección para visualizar el contenido disponible para descargar.</t>
  </si>
  <si>
    <t>RF10-2</t>
  </si>
  <si>
    <t>Mostrar lista de archivos (videos, imágenes, documentos, señas).</t>
  </si>
  <si>
    <t>RF10-3</t>
  </si>
  <si>
    <t>Añadir botón “Descargar” junto a cada contenido.</t>
  </si>
  <si>
    <t>RF10-4</t>
  </si>
  <si>
    <t>Iniciar descarga automática del archivo al dispositivo.</t>
  </si>
  <si>
    <t>RF10-5</t>
  </si>
  <si>
    <t>Mostrar indicador de carga mientras prepara la descarga.</t>
  </si>
  <si>
    <t>RF10-6</t>
  </si>
  <si>
    <t>Mostrar mensaje de éxito tras completar la descarga o el error.</t>
  </si>
  <si>
    <t>SPRINT 2</t>
  </si>
  <si>
    <t>RF08-1</t>
  </si>
  <si>
    <t>Crear pantalla o sección “Progreso de los padres”.</t>
  </si>
  <si>
    <t>RF08-2</t>
  </si>
  <si>
    <t>Mostrar cada padre en una tabla o tarjetas con su información básica.</t>
  </si>
  <si>
    <t>RF08-3</t>
  </si>
  <si>
    <t>Agregar botón o enlace “Ver progreso” por cada padre.</t>
  </si>
  <si>
    <t>RF08-4</t>
  </si>
  <si>
    <t>Mostrar porcentajes de avance en señas aprendidas.</t>
  </si>
  <si>
    <t>RF08-5</t>
  </si>
  <si>
    <t>Mostrar historial o lista de señas completadas.</t>
  </si>
  <si>
    <t>RF08-6</t>
  </si>
  <si>
    <t>Mostrar mensajes de carga mientras se obtienen los datos.</t>
  </si>
  <si>
    <t>RF09-1</t>
  </si>
  <si>
    <t>Crear sección o pantalla “Historial de palabras aprendidas”.</t>
  </si>
  <si>
    <t>RF09-2</t>
  </si>
  <si>
    <t>Mostrar cada padre en una tabla o lista con botón “Ver historial”.</t>
  </si>
  <si>
    <t>RF09-3</t>
  </si>
  <si>
    <t>Mostrar la lista de palabras aprendidas en forma de tabla o tarjetas.</t>
  </si>
  <si>
    <t>RF09-4</t>
  </si>
  <si>
    <t>Mostrar fechas en que cada palabra fue aprendida (si existe el dato).</t>
  </si>
  <si>
    <t>RF09-5</t>
  </si>
  <si>
    <t>Mostrar indicador de carga mientras se obtienen los datos.</t>
  </si>
  <si>
    <t>RF09-6</t>
  </si>
  <si>
    <t>Mostrar mensajes de error en caso de fallo de API.</t>
  </si>
  <si>
    <t>RF11-1</t>
  </si>
  <si>
    <t>Crear pantalla o sección “Contenido exclusivo”.</t>
  </si>
  <si>
    <t>RF11-2</t>
  </si>
  <si>
    <t>Mostrar lista de contenidos (videos, imágenes, actividades, señas).</t>
  </si>
  <si>
    <t>RF11-3</t>
  </si>
  <si>
    <t>Mostrar etiquetas o íconos que indiquen que el contenido es exclusivo.</t>
  </si>
  <si>
    <t>RF11-4</t>
  </si>
  <si>
    <t>Validar en el frontend si el usuario tiene permisos para acceder al contenido.</t>
  </si>
  <si>
    <t>RF11-5</t>
  </si>
  <si>
    <t>Mostrar botón “Ver” o “Descargar” según el tipo de contenido.</t>
  </si>
  <si>
    <t>RF11-6</t>
  </si>
  <si>
    <t>Manejar acceso restringido mostrando mensaje: “Requiere suscripción/clase para acceder”.</t>
  </si>
  <si>
    <t>RF11-7</t>
  </si>
  <si>
    <t>SPRINT 3</t>
  </si>
  <si>
    <t>d</t>
  </si>
  <si>
    <t>RF012</t>
  </si>
  <si>
    <t>RF12-1</t>
  </si>
  <si>
    <t>Diseñar componentes visuales del tour (tooltips/modales)</t>
  </si>
  <si>
    <t>RF12-2</t>
  </si>
  <si>
    <t>Frontend: Lógica para detectar estado "primer login"</t>
  </si>
  <si>
    <t>RF12-3</t>
  </si>
  <si>
    <t>Frontend: Orquestar secuencia de pasos (Home -&gt; Enlace -&gt; Progreso)</t>
  </si>
  <si>
    <t>RF12-4</t>
  </si>
  <si>
    <t>Backend: Endpoint para actualizar flag "Guía Vistra"</t>
  </si>
  <si>
    <t>RF12-5</t>
  </si>
  <si>
    <t>QA: Verificar que la guía no aparezca en 2do inicio de sesión</t>
  </si>
  <si>
    <t>RF13-1</t>
  </si>
  <si>
    <t>Crear pantalla o módulo “Prueba de conocimiento”.</t>
  </si>
  <si>
    <t>RF13-2</t>
  </si>
  <si>
    <t>Diseñar formulario con preguntas (selección, verdadero/falso, etc.).</t>
  </si>
  <si>
    <t>RF13-3</t>
  </si>
  <si>
    <t>Validar que todas las preguntas estén respondidas antes de enviar.</t>
  </si>
  <si>
    <t>RF13-4</t>
  </si>
  <si>
    <t>Mostrar indicador de carga mientras se procesa el envío.</t>
  </si>
  <si>
    <t>RF13-5</t>
  </si>
  <si>
    <t>Guardar temporalmente en el frontend esos datos si se requiere.</t>
  </si>
  <si>
    <t>RF13-6</t>
  </si>
  <si>
    <t>Mostrar mensaje de éxito cuando la prueba se procese correctamente.</t>
  </si>
  <si>
    <t>RF13-7</t>
  </si>
  <si>
    <t>Redirigir automáticamente al siguiente módulo del sistema.</t>
  </si>
  <si>
    <t>RF14-1</t>
  </si>
  <si>
    <t>Crear barra de búsqueda en la pantalla de contenidos.</t>
  </si>
  <si>
    <t>RF14-2</t>
  </si>
  <si>
    <t>Detectar entrada de texto en tiempo real.</t>
  </si>
  <si>
    <t>RF14-3</t>
  </si>
  <si>
    <t>RF14-4</t>
  </si>
  <si>
    <t>Ordenar los resultados por contador de visualizaciones</t>
  </si>
  <si>
    <t>RF14-5</t>
  </si>
  <si>
    <t>Mostrar la lista de resultados filtrados y ordenados.</t>
  </si>
  <si>
    <t>RF14-6</t>
  </si>
  <si>
    <t>Mostrar mensaje “No se encontraron resultados” cuando aplique.</t>
  </si>
  <si>
    <t>RF14-7</t>
  </si>
  <si>
    <t>Limpiar el filtro cuando el usuario borre el texto.</t>
  </si>
  <si>
    <t>RF14-8</t>
  </si>
  <si>
    <t>Manejar errores de comunicación con la API.</t>
  </si>
  <si>
    <t>Estimado</t>
  </si>
  <si>
    <t>Dia 5</t>
  </si>
  <si>
    <t>Dia 4</t>
  </si>
  <si>
    <t>Dia 3</t>
  </si>
  <si>
    <t>Dia 2</t>
  </si>
  <si>
    <t>Dia 1</t>
  </si>
  <si>
    <t>Total de Horas</t>
  </si>
  <si>
    <t>REQ001-1</t>
  </si>
  <si>
    <t>REQ001-2</t>
  </si>
  <si>
    <t>Horas Estimadas</t>
  </si>
  <si>
    <t>Horas Estimadas
Restantes</t>
  </si>
  <si>
    <t>Durante el proceso de desarrollo del producto software,CONCLUSION DEL ESFUERZO CALCULADO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</si>
</sst>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2.0"/>
      <color rgb="FFFF0000"/>
      <name val="Arial"/>
    </font>
    <font>
      <sz val="12.0"/>
      <color rgb="FFFF0000"/>
      <name val="Arial"/>
    </font>
    <font>
      <sz val="10.0"/>
      <color rgb="FF2F5496"/>
      <name val="Arial"/>
    </font>
    <font>
      <sz val="10.0"/>
      <color rgb="FF0000FF"/>
      <name val="Arial"/>
    </font>
    <font>
      <color rgb="FF000000"/>
      <name val="Arial"/>
    </font>
    <font>
      <sz val="10.0"/>
      <color rgb="FF0000FF"/>
      <name val="Roboto"/>
    </font>
    <font>
      <color rgb="FF0000FF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b/>
      <sz val="15.0"/>
      <color theme="1"/>
      <name val="Arial"/>
      <scheme val="minor"/>
    </font>
    <font>
      <b/>
      <sz val="10.0"/>
      <color theme="1"/>
      <name val="Arial"/>
    </font>
    <font>
      <sz val="10.0"/>
      <color rgb="FF000000"/>
      <name val="Arial"/>
    </font>
    <font>
      <color theme="4"/>
      <name val="Arial"/>
      <scheme val="minor"/>
    </font>
    <font>
      <color rgb="FF4472C4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0" fillId="0" fontId="2" numFmtId="0" xfId="0" applyFont="1"/>
    <xf borderId="1" fillId="2" fontId="3" numFmtId="0" xfId="0" applyAlignment="1" applyBorder="1" applyFill="1" applyFont="1">
      <alignment readingOrder="0" shrinkToFit="0" wrapText="1"/>
    </xf>
    <xf borderId="1" fillId="0" fontId="4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/>
    </xf>
    <xf borderId="1" fillId="0" fontId="4" numFmtId="0" xfId="0" applyAlignment="1" applyBorder="1" applyFont="1">
      <alignment shrinkToFit="0" wrapText="1"/>
    </xf>
    <xf borderId="0" fillId="0" fontId="3" numFmtId="0" xfId="0" applyFont="1"/>
    <xf borderId="1" fillId="3" fontId="6" numFmtId="0" xfId="0" applyAlignment="1" applyBorder="1" applyFill="1" applyFont="1">
      <alignment readingOrder="0" shrinkToFit="0" wrapText="1"/>
    </xf>
    <xf borderId="1" fillId="0" fontId="7" numFmtId="0" xfId="0" applyAlignment="1" applyBorder="1" applyFont="1">
      <alignment readingOrder="0"/>
    </xf>
    <xf borderId="1" fillId="4" fontId="3" numFmtId="0" xfId="0" applyAlignment="1" applyBorder="1" applyFill="1" applyFont="1">
      <alignment readingOrder="0" shrinkToFit="0" wrapText="1"/>
    </xf>
    <xf borderId="1" fillId="0" fontId="8" numFmtId="0" xfId="0" applyAlignment="1" applyBorder="1" applyFont="1">
      <alignment shrinkToFit="0" wrapText="1"/>
    </xf>
    <xf borderId="1" fillId="5" fontId="3" numFmtId="0" xfId="0" applyAlignment="1" applyBorder="1" applyFill="1" applyFont="1">
      <alignment readingOrder="0" shrinkToFit="0" wrapText="1"/>
    </xf>
    <xf borderId="1" fillId="0" fontId="9" numFmtId="0" xfId="0" applyBorder="1" applyFont="1"/>
    <xf borderId="1" fillId="6" fontId="3" numFmtId="0" xfId="0" applyAlignment="1" applyBorder="1" applyFill="1" applyFont="1">
      <alignment readingOrder="0" shrinkToFit="0" wrapText="1"/>
    </xf>
    <xf borderId="1" fillId="7" fontId="3" numFmtId="0" xfId="0" applyAlignment="1" applyBorder="1" applyFill="1" applyFont="1">
      <alignment readingOrder="0" shrinkToFit="0" wrapText="1"/>
    </xf>
    <xf borderId="0" fillId="2" fontId="10" numFmtId="0" xfId="0" applyAlignment="1" applyFont="1">
      <alignment readingOrder="0"/>
    </xf>
    <xf borderId="0" fillId="0" fontId="11" numFmtId="0" xfId="0" applyAlignment="1" applyFont="1">
      <alignment horizontal="center"/>
    </xf>
    <xf borderId="1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right"/>
    </xf>
    <xf borderId="0" fillId="0" fontId="9" numFmtId="0" xfId="0" applyAlignment="1" applyFont="1">
      <alignment readingOrder="0"/>
    </xf>
    <xf borderId="0" fillId="0" fontId="12" numFmtId="0" xfId="0" applyFont="1"/>
    <xf borderId="0" fillId="0" fontId="8" numFmtId="0" xfId="0" applyFont="1"/>
    <xf borderId="0" fillId="0" fontId="8" numFmtId="0" xfId="0" applyAlignment="1" applyFont="1">
      <alignment horizontal="right"/>
    </xf>
    <xf borderId="0" fillId="0" fontId="1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4" fontId="10" numFmtId="0" xfId="0" applyAlignment="1" applyFont="1">
      <alignment readingOrder="0"/>
    </xf>
    <xf borderId="0" fillId="0" fontId="14" numFmtId="0" xfId="0" applyAlignment="1" applyFont="1">
      <alignment readingOrder="0"/>
    </xf>
    <xf borderId="1" fillId="3" fontId="3" numFmtId="0" xfId="0" applyAlignment="1" applyBorder="1" applyFont="1">
      <alignment readingOrder="0" shrinkToFit="0" wrapText="1"/>
    </xf>
    <xf borderId="0" fillId="5" fontId="10" numFmtId="0" xfId="0" applyAlignment="1" applyFont="1">
      <alignment readingOrder="0"/>
    </xf>
    <xf borderId="0" fillId="8" fontId="10" numFmtId="0" xfId="0" applyAlignment="1" applyFill="1" applyFont="1">
      <alignment readingOrder="0"/>
    </xf>
    <xf borderId="0" fillId="0" fontId="4" numFmtId="0" xfId="0" applyFont="1"/>
    <xf borderId="2" fillId="9" fontId="8" numFmtId="0" xfId="0" applyAlignment="1" applyBorder="1" applyFill="1" applyFont="1">
      <alignment horizontal="right"/>
    </xf>
    <xf borderId="2" fillId="10" fontId="8" numFmtId="0" xfId="0" applyAlignment="1" applyBorder="1" applyFill="1" applyFont="1">
      <alignment horizontal="right"/>
    </xf>
    <xf borderId="2" fillId="11" fontId="8" numFmtId="0" xfId="0" applyBorder="1" applyFill="1" applyFont="1"/>
    <xf borderId="0" fillId="0" fontId="3" numFmtId="0" xfId="0" applyAlignment="1" applyFont="1">
      <alignment horizontal="left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burdonchar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3054470691163605"/>
          <c:y val="0.05750224618149147"/>
          <c:w val="0.869455293088364"/>
          <c:h val="0.789938804819209"/>
        </c:manualLayout>
      </c:layout>
      <c:lineChart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burdonchart!$B$10:$H$10</c:f>
              <c:numCache/>
            </c:numRef>
          </c:val>
          <c:smooth val="0"/>
        </c:ser>
        <c:ser>
          <c:idx val="1"/>
          <c:order val="1"/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burdonchart!$B$11:$H$11</c:f>
              <c:numCache/>
            </c:numRef>
          </c:val>
          <c:smooth val="0"/>
        </c:ser>
        <c:axId val="990912712"/>
        <c:axId val="1348149945"/>
      </c:lineChart>
      <c:catAx>
        <c:axId val="990912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48149945"/>
      </c:catAx>
      <c:valAx>
        <c:axId val="13481499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9091271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161925</xdr:colOff>
      <xdr:row>8</xdr:row>
      <xdr:rowOff>142875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headerRowCount="0" ref="I4:I5" displayName="Table_1" name="Table_1" id="1">
  <tableColumns count="1">
    <tableColumn name="Column1" id="1"/>
  </tableColumns>
  <tableStyleInfo name="burdonchar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30.25"/>
    <col customWidth="1" min="3" max="3" width="36.0"/>
    <col customWidth="1" min="4" max="4" width="62.38"/>
    <col customWidth="1" min="5" max="5" width="58.38"/>
    <col customWidth="1" min="6" max="26" width="12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4" t="s">
        <v>9</v>
      </c>
      <c r="C2" s="5" t="s">
        <v>10</v>
      </c>
      <c r="D2" s="4" t="s">
        <v>11</v>
      </c>
      <c r="E2" s="4" t="s">
        <v>12</v>
      </c>
      <c r="F2" s="6"/>
      <c r="G2" s="4" t="s">
        <v>13</v>
      </c>
      <c r="H2" s="6" t="s">
        <v>14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" t="s">
        <v>15</v>
      </c>
      <c r="B3" s="4" t="s">
        <v>16</v>
      </c>
      <c r="C3" s="5" t="s">
        <v>10</v>
      </c>
      <c r="D3" s="8" t="s">
        <v>17</v>
      </c>
      <c r="E3" s="9" t="s">
        <v>18</v>
      </c>
      <c r="F3" s="6"/>
      <c r="G3" s="4" t="s">
        <v>13</v>
      </c>
      <c r="H3" s="6" t="s">
        <v>14</v>
      </c>
    </row>
    <row r="4">
      <c r="A4" s="3" t="s">
        <v>19</v>
      </c>
      <c r="B4" s="4" t="s">
        <v>20</v>
      </c>
      <c r="C4" s="5" t="s">
        <v>21</v>
      </c>
      <c r="D4" s="4" t="s">
        <v>22</v>
      </c>
      <c r="E4" s="9" t="s">
        <v>23</v>
      </c>
      <c r="F4" s="6"/>
      <c r="G4" s="4" t="s">
        <v>13</v>
      </c>
      <c r="H4" s="6" t="s">
        <v>14</v>
      </c>
    </row>
    <row r="5">
      <c r="A5" s="10" t="s">
        <v>24</v>
      </c>
      <c r="B5" s="4" t="s">
        <v>25</v>
      </c>
      <c r="C5" s="5" t="s">
        <v>21</v>
      </c>
      <c r="D5" s="9" t="s">
        <v>26</v>
      </c>
      <c r="E5" s="9" t="s">
        <v>27</v>
      </c>
      <c r="F5" s="6"/>
      <c r="G5" s="4" t="s">
        <v>13</v>
      </c>
      <c r="H5" s="6" t="s">
        <v>14</v>
      </c>
    </row>
    <row r="6">
      <c r="A6" s="10" t="s">
        <v>28</v>
      </c>
      <c r="B6" s="4" t="s">
        <v>29</v>
      </c>
      <c r="C6" s="5" t="s">
        <v>21</v>
      </c>
      <c r="D6" s="9" t="s">
        <v>30</v>
      </c>
      <c r="E6" s="9" t="s">
        <v>31</v>
      </c>
      <c r="F6" s="6"/>
      <c r="G6" s="4" t="s">
        <v>13</v>
      </c>
      <c r="H6" s="4" t="s">
        <v>14</v>
      </c>
    </row>
    <row r="7" ht="15.75" customHeight="1">
      <c r="A7" s="3" t="s">
        <v>32</v>
      </c>
      <c r="B7" s="4" t="s">
        <v>33</v>
      </c>
      <c r="C7" s="5" t="s">
        <v>34</v>
      </c>
      <c r="D7" s="9" t="s">
        <v>35</v>
      </c>
      <c r="E7" s="9" t="s">
        <v>36</v>
      </c>
      <c r="F7" s="11"/>
      <c r="G7" s="4" t="s">
        <v>13</v>
      </c>
      <c r="H7" s="4" t="s">
        <v>14</v>
      </c>
    </row>
    <row r="8" ht="15.75" customHeight="1">
      <c r="A8" s="10" t="s">
        <v>37</v>
      </c>
      <c r="B8" s="4" t="s">
        <v>38</v>
      </c>
      <c r="C8" s="5" t="s">
        <v>34</v>
      </c>
      <c r="D8" s="9" t="s">
        <v>39</v>
      </c>
      <c r="E8" s="9" t="s">
        <v>40</v>
      </c>
      <c r="F8" s="11"/>
      <c r="G8" s="4" t="s">
        <v>13</v>
      </c>
      <c r="H8" s="4" t="s">
        <v>14</v>
      </c>
    </row>
    <row r="9" ht="15.75" customHeight="1">
      <c r="A9" s="12" t="s">
        <v>41</v>
      </c>
      <c r="B9" s="4" t="s">
        <v>42</v>
      </c>
      <c r="C9" s="5" t="s">
        <v>34</v>
      </c>
      <c r="D9" s="9" t="s">
        <v>43</v>
      </c>
      <c r="E9" s="9" t="s">
        <v>44</v>
      </c>
      <c r="F9" s="11"/>
      <c r="G9" s="4" t="s">
        <v>13</v>
      </c>
      <c r="H9" s="4" t="s">
        <v>14</v>
      </c>
    </row>
    <row r="10" ht="15.75" customHeight="1">
      <c r="A10" s="12" t="s">
        <v>45</v>
      </c>
      <c r="B10" s="4" t="s">
        <v>46</v>
      </c>
      <c r="C10" s="5" t="s">
        <v>34</v>
      </c>
      <c r="D10" s="9" t="s">
        <v>47</v>
      </c>
      <c r="E10" s="9" t="s">
        <v>48</v>
      </c>
      <c r="F10" s="11"/>
      <c r="G10" s="4" t="s">
        <v>13</v>
      </c>
      <c r="H10" s="4" t="s">
        <v>14</v>
      </c>
    </row>
    <row r="11" ht="15.75" customHeight="1">
      <c r="A11" s="10" t="s">
        <v>49</v>
      </c>
      <c r="B11" s="9" t="s">
        <v>50</v>
      </c>
      <c r="C11" s="5" t="s">
        <v>21</v>
      </c>
      <c r="D11" s="9" t="s">
        <v>51</v>
      </c>
      <c r="E11" s="9" t="s">
        <v>52</v>
      </c>
      <c r="F11" s="13"/>
      <c r="G11" s="9" t="s">
        <v>13</v>
      </c>
      <c r="H11" s="9" t="s">
        <v>14</v>
      </c>
    </row>
    <row r="12" ht="15.75" customHeight="1">
      <c r="A12" s="12" t="s">
        <v>53</v>
      </c>
      <c r="B12" s="9" t="s">
        <v>54</v>
      </c>
      <c r="C12" s="5" t="s">
        <v>21</v>
      </c>
      <c r="D12" s="9" t="s">
        <v>55</v>
      </c>
      <c r="E12" s="9" t="s">
        <v>56</v>
      </c>
      <c r="F12" s="13"/>
      <c r="G12" s="9" t="s">
        <v>13</v>
      </c>
      <c r="H12" s="9" t="s">
        <v>14</v>
      </c>
    </row>
    <row r="13" ht="15.75" customHeight="1"/>
    <row r="14" ht="15.75" customHeight="1"/>
    <row r="15" ht="15.75" customHeight="1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</row>
    <row r="16">
      <c r="A16" s="14" t="s">
        <v>57</v>
      </c>
      <c r="B16" s="4" t="s">
        <v>58</v>
      </c>
      <c r="C16" s="5" t="s">
        <v>21</v>
      </c>
      <c r="D16" s="4" t="s">
        <v>59</v>
      </c>
      <c r="E16" s="4" t="s">
        <v>60</v>
      </c>
      <c r="F16" s="6"/>
      <c r="G16" s="4" t="s">
        <v>61</v>
      </c>
      <c r="H16" s="6" t="s">
        <v>14</v>
      </c>
    </row>
    <row r="17">
      <c r="A17" s="14" t="s">
        <v>62</v>
      </c>
      <c r="B17" s="4" t="s">
        <v>63</v>
      </c>
      <c r="C17" s="5" t="s">
        <v>21</v>
      </c>
      <c r="D17" s="8" t="s">
        <v>64</v>
      </c>
      <c r="E17" s="4" t="s">
        <v>65</v>
      </c>
      <c r="F17" s="6"/>
      <c r="G17" s="4" t="s">
        <v>61</v>
      </c>
      <c r="H17" s="6" t="s">
        <v>14</v>
      </c>
    </row>
    <row r="18">
      <c r="A18" s="15" t="s">
        <v>66</v>
      </c>
      <c r="B18" s="4" t="s">
        <v>67</v>
      </c>
      <c r="C18" s="5" t="s">
        <v>21</v>
      </c>
      <c r="D18" s="4" t="s">
        <v>68</v>
      </c>
      <c r="E18" s="4" t="s">
        <v>69</v>
      </c>
      <c r="F18" s="6"/>
      <c r="G18" s="4" t="s">
        <v>61</v>
      </c>
      <c r="H18" s="6" t="s">
        <v>14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4" width="18.88"/>
    <col customWidth="1" min="5" max="5" width="20.5"/>
    <col customWidth="1" min="6" max="6" width="56.13"/>
    <col customWidth="1" min="7" max="27" width="12.5"/>
  </cols>
  <sheetData>
    <row r="1" ht="15.75" customHeight="1"/>
    <row r="2" ht="15.75" customHeight="1">
      <c r="B2" s="16" t="s">
        <v>70</v>
      </c>
    </row>
    <row r="3" ht="15.75" customHeight="1">
      <c r="B3" s="17" t="s">
        <v>0</v>
      </c>
      <c r="C3" s="17" t="s">
        <v>1</v>
      </c>
      <c r="D3" s="17" t="s">
        <v>2</v>
      </c>
      <c r="E3" s="17" t="s">
        <v>71</v>
      </c>
      <c r="F3" s="17" t="s">
        <v>72</v>
      </c>
      <c r="G3" s="17" t="s">
        <v>73</v>
      </c>
      <c r="H3" s="17" t="s">
        <v>5</v>
      </c>
      <c r="I3" s="17" t="s">
        <v>74</v>
      </c>
      <c r="J3" s="17" t="s">
        <v>75</v>
      </c>
    </row>
    <row r="4">
      <c r="A4" s="7"/>
      <c r="B4" s="18" t="s">
        <v>76</v>
      </c>
      <c r="C4" s="4" t="s">
        <v>9</v>
      </c>
      <c r="D4" s="5" t="s">
        <v>10</v>
      </c>
      <c r="E4" s="4" t="s">
        <v>11</v>
      </c>
      <c r="F4" s="4" t="s">
        <v>12</v>
      </c>
      <c r="G4" s="6"/>
      <c r="H4" s="4" t="s">
        <v>13</v>
      </c>
      <c r="I4" s="6" t="s">
        <v>14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ht="15.75" customHeight="1">
      <c r="A5" s="7"/>
      <c r="B5" s="19" t="s">
        <v>77</v>
      </c>
      <c r="C5" s="19" t="s">
        <v>78</v>
      </c>
      <c r="G5" s="7"/>
      <c r="H5" s="7"/>
      <c r="I5" s="7"/>
      <c r="J5" s="20">
        <v>1.0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ht="15.75" customHeight="1">
      <c r="A6" s="7"/>
      <c r="B6" s="19" t="s">
        <v>79</v>
      </c>
      <c r="C6" s="19" t="s">
        <v>80</v>
      </c>
      <c r="G6" s="7"/>
      <c r="H6" s="7"/>
      <c r="I6" s="7"/>
      <c r="J6" s="21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15.75" customHeight="1">
      <c r="A7" s="7"/>
      <c r="B7" s="19" t="s">
        <v>81</v>
      </c>
      <c r="C7" s="22" t="s">
        <v>82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ht="15.75" customHeight="1">
      <c r="B8" s="19" t="s">
        <v>83</v>
      </c>
      <c r="C8" s="22" t="s">
        <v>84</v>
      </c>
      <c r="D8" s="17"/>
      <c r="E8" s="17"/>
      <c r="F8" s="17"/>
      <c r="G8" s="17"/>
      <c r="H8" s="17"/>
      <c r="I8" s="17"/>
      <c r="J8" s="17"/>
    </row>
    <row r="9" ht="15.75" customHeight="1">
      <c r="B9" s="19" t="s">
        <v>85</v>
      </c>
      <c r="C9" s="22" t="s">
        <v>86</v>
      </c>
    </row>
    <row r="10" ht="15.75" customHeight="1">
      <c r="B10" s="19" t="s">
        <v>87</v>
      </c>
      <c r="C10" s="22" t="s">
        <v>88</v>
      </c>
      <c r="D10" s="23"/>
      <c r="E10" s="23"/>
      <c r="F10" s="23"/>
      <c r="G10" s="24"/>
      <c r="H10" s="24"/>
      <c r="I10" s="23"/>
      <c r="J10" s="25"/>
    </row>
    <row r="11" ht="15.75" customHeight="1">
      <c r="B11" s="19" t="s">
        <v>89</v>
      </c>
      <c r="C11" s="22" t="s">
        <v>90</v>
      </c>
    </row>
    <row r="12" ht="15.75" customHeight="1">
      <c r="B12" s="19" t="s">
        <v>91</v>
      </c>
      <c r="C12" s="22" t="s">
        <v>92</v>
      </c>
    </row>
    <row r="13" ht="15.75" customHeight="1">
      <c r="B13" s="19" t="s">
        <v>93</v>
      </c>
      <c r="C13" s="22" t="s">
        <v>94</v>
      </c>
    </row>
    <row r="14">
      <c r="B14" s="18" t="s">
        <v>95</v>
      </c>
      <c r="C14" s="4" t="s">
        <v>16</v>
      </c>
      <c r="D14" s="5" t="s">
        <v>10</v>
      </c>
      <c r="E14" s="8" t="s">
        <v>17</v>
      </c>
      <c r="F14" s="9" t="s">
        <v>18</v>
      </c>
      <c r="G14" s="6"/>
      <c r="H14" s="4" t="s">
        <v>13</v>
      </c>
      <c r="I14" s="6" t="s">
        <v>14</v>
      </c>
    </row>
    <row r="15" ht="15.75" customHeight="1">
      <c r="B15" s="19" t="s">
        <v>96</v>
      </c>
      <c r="C15" s="22" t="s">
        <v>97</v>
      </c>
      <c r="J15" s="22">
        <v>2.0</v>
      </c>
    </row>
    <row r="16" ht="15.75" customHeight="1">
      <c r="B16" s="19" t="s">
        <v>98</v>
      </c>
      <c r="C16" s="22" t="s">
        <v>99</v>
      </c>
    </row>
    <row r="17" ht="15.75" customHeight="1">
      <c r="B17" s="19" t="s">
        <v>100</v>
      </c>
      <c r="C17" s="22" t="s">
        <v>101</v>
      </c>
    </row>
    <row r="18" ht="15.75" customHeight="1">
      <c r="B18" s="19" t="s">
        <v>102</v>
      </c>
      <c r="C18" s="22" t="s">
        <v>103</v>
      </c>
    </row>
    <row r="19" ht="15.75" customHeight="1">
      <c r="B19" s="19" t="s">
        <v>104</v>
      </c>
      <c r="C19" s="22" t="s">
        <v>105</v>
      </c>
    </row>
    <row r="20" ht="15.75" customHeight="1">
      <c r="B20" s="19" t="s">
        <v>106</v>
      </c>
      <c r="C20" s="22" t="s">
        <v>107</v>
      </c>
    </row>
    <row r="21" ht="15.75" customHeight="1">
      <c r="B21" s="19" t="s">
        <v>108</v>
      </c>
      <c r="C21" s="22" t="s">
        <v>109</v>
      </c>
    </row>
    <row r="22" ht="15.75" customHeight="1">
      <c r="B22" s="19" t="s">
        <v>110</v>
      </c>
      <c r="C22" s="22" t="s">
        <v>111</v>
      </c>
    </row>
    <row r="23">
      <c r="B23" s="18" t="s">
        <v>112</v>
      </c>
      <c r="C23" s="4" t="s">
        <v>20</v>
      </c>
      <c r="D23" s="5" t="s">
        <v>21</v>
      </c>
      <c r="E23" s="4" t="s">
        <v>22</v>
      </c>
      <c r="F23" s="9" t="s">
        <v>23</v>
      </c>
      <c r="G23" s="6"/>
      <c r="H23" s="4" t="s">
        <v>13</v>
      </c>
      <c r="I23" s="6" t="s">
        <v>14</v>
      </c>
    </row>
    <row r="24" ht="15.75" customHeight="1">
      <c r="B24" s="26" t="s">
        <v>113</v>
      </c>
      <c r="C24" s="22" t="s">
        <v>114</v>
      </c>
      <c r="J24" s="22">
        <v>6.0</v>
      </c>
    </row>
    <row r="25" ht="15.75" customHeight="1">
      <c r="B25" s="26" t="s">
        <v>115</v>
      </c>
      <c r="C25" s="22" t="s">
        <v>116</v>
      </c>
    </row>
    <row r="26" ht="15.75" customHeight="1">
      <c r="B26" s="26" t="s">
        <v>117</v>
      </c>
      <c r="C26" s="22" t="s">
        <v>118</v>
      </c>
    </row>
    <row r="27" ht="15.75" customHeight="1">
      <c r="B27" s="26" t="s">
        <v>119</v>
      </c>
      <c r="C27" s="22" t="s">
        <v>120</v>
      </c>
    </row>
    <row r="28" ht="15.75" customHeight="1">
      <c r="B28" s="26" t="s">
        <v>121</v>
      </c>
      <c r="C28" s="22" t="s">
        <v>122</v>
      </c>
    </row>
    <row r="29" ht="15.75" customHeight="1">
      <c r="B29" s="26" t="s">
        <v>123</v>
      </c>
      <c r="C29" s="22" t="s">
        <v>124</v>
      </c>
    </row>
    <row r="30" ht="15.75" customHeight="1"/>
    <row r="31">
      <c r="B31" s="18" t="s">
        <v>125</v>
      </c>
      <c r="C31" s="4" t="s">
        <v>33</v>
      </c>
      <c r="D31" s="5" t="s">
        <v>34</v>
      </c>
      <c r="E31" s="9" t="s">
        <v>35</v>
      </c>
      <c r="F31" s="9" t="s">
        <v>36</v>
      </c>
      <c r="G31" s="11"/>
      <c r="H31" s="4" t="s">
        <v>13</v>
      </c>
      <c r="I31" s="4" t="s">
        <v>14</v>
      </c>
    </row>
    <row r="32" ht="15.75" customHeight="1">
      <c r="B32" s="27" t="s">
        <v>126</v>
      </c>
      <c r="C32" s="22" t="s">
        <v>127</v>
      </c>
      <c r="J32" s="22">
        <v>2.0</v>
      </c>
    </row>
    <row r="33" ht="15.75" customHeight="1">
      <c r="B33" s="27" t="s">
        <v>128</v>
      </c>
      <c r="C33" s="22" t="s">
        <v>129</v>
      </c>
    </row>
    <row r="34" ht="15.75" customHeight="1">
      <c r="B34" s="27" t="s">
        <v>130</v>
      </c>
      <c r="C34" s="22" t="s">
        <v>131</v>
      </c>
    </row>
    <row r="35" ht="15.75" customHeight="1">
      <c r="B35" s="27" t="s">
        <v>132</v>
      </c>
      <c r="C35" s="22" t="s">
        <v>133</v>
      </c>
    </row>
    <row r="36" ht="15.75" customHeight="1"/>
    <row r="37" ht="15.75" customHeight="1"/>
    <row r="38" ht="15.75" customHeight="1"/>
    <row r="39" ht="15.75" customHeight="1">
      <c r="B39" s="28" t="s">
        <v>134</v>
      </c>
    </row>
    <row r="40">
      <c r="B40" s="18" t="s">
        <v>28</v>
      </c>
      <c r="C40" s="4" t="s">
        <v>29</v>
      </c>
      <c r="D40" s="5" t="s">
        <v>21</v>
      </c>
      <c r="E40" s="9" t="s">
        <v>30</v>
      </c>
      <c r="F40" s="9" t="s">
        <v>31</v>
      </c>
      <c r="G40" s="6"/>
      <c r="H40" s="4" t="s">
        <v>13</v>
      </c>
      <c r="I40" s="4" t="s">
        <v>14</v>
      </c>
    </row>
    <row r="41" ht="15.75" customHeight="1">
      <c r="B41" s="29" t="s">
        <v>135</v>
      </c>
      <c r="C41" s="22" t="s">
        <v>136</v>
      </c>
      <c r="J41" s="22">
        <v>5.0</v>
      </c>
    </row>
    <row r="42" ht="15.75" customHeight="1">
      <c r="B42" s="26" t="s">
        <v>137</v>
      </c>
      <c r="C42" s="22" t="s">
        <v>138</v>
      </c>
    </row>
    <row r="43" ht="15.75" customHeight="1">
      <c r="B43" s="26" t="s">
        <v>139</v>
      </c>
      <c r="C43" s="22" t="s">
        <v>140</v>
      </c>
    </row>
    <row r="44" ht="15.75" customHeight="1"/>
    <row r="45" ht="15.75" customHeight="1"/>
    <row r="46" ht="15.75" customHeight="1"/>
    <row r="47">
      <c r="B47" s="30" t="s">
        <v>24</v>
      </c>
      <c r="C47" s="4" t="s">
        <v>25</v>
      </c>
      <c r="D47" s="5" t="s">
        <v>21</v>
      </c>
      <c r="E47" s="9" t="s">
        <v>26</v>
      </c>
      <c r="F47" s="9" t="s">
        <v>27</v>
      </c>
      <c r="G47" s="6"/>
      <c r="H47" s="4" t="s">
        <v>13</v>
      </c>
      <c r="I47" s="6" t="s">
        <v>14</v>
      </c>
    </row>
    <row r="48" ht="15.75" customHeight="1">
      <c r="B48" s="26" t="s">
        <v>141</v>
      </c>
      <c r="C48" s="22" t="s">
        <v>142</v>
      </c>
      <c r="J48" s="22">
        <v>5.0</v>
      </c>
    </row>
    <row r="49" ht="15.75" customHeight="1">
      <c r="B49" s="26" t="s">
        <v>143</v>
      </c>
      <c r="C49" s="22" t="s">
        <v>144</v>
      </c>
    </row>
    <row r="50" ht="15.75" customHeight="1">
      <c r="B50" s="26" t="s">
        <v>145</v>
      </c>
      <c r="C50" s="22" t="s">
        <v>146</v>
      </c>
    </row>
    <row r="51" ht="15.75" customHeight="1">
      <c r="B51" s="29" t="s">
        <v>147</v>
      </c>
      <c r="C51" s="22" t="s">
        <v>148</v>
      </c>
    </row>
    <row r="52" ht="15.75" customHeight="1"/>
    <row r="53" ht="15.75" customHeight="1"/>
    <row r="54" ht="15.75" customHeight="1"/>
    <row r="55" ht="15.75" customHeight="1">
      <c r="B55" s="30" t="s">
        <v>37</v>
      </c>
      <c r="C55" s="4" t="s">
        <v>38</v>
      </c>
      <c r="D55" s="5" t="s">
        <v>34</v>
      </c>
      <c r="E55" s="9" t="s">
        <v>39</v>
      </c>
      <c r="F55" s="9" t="s">
        <v>40</v>
      </c>
      <c r="G55" s="11"/>
      <c r="H55" s="4" t="s">
        <v>13</v>
      </c>
      <c r="I55" s="4" t="s">
        <v>14</v>
      </c>
    </row>
    <row r="56" ht="15.75" customHeight="1">
      <c r="B56" s="29" t="s">
        <v>149</v>
      </c>
      <c r="C56" s="22" t="s">
        <v>150</v>
      </c>
      <c r="J56" s="22">
        <v>6.0</v>
      </c>
    </row>
    <row r="57" ht="15.75" customHeight="1">
      <c r="B57" s="29" t="s">
        <v>151</v>
      </c>
      <c r="C57" s="22" t="s">
        <v>152</v>
      </c>
    </row>
    <row r="58" ht="15.75" customHeight="1">
      <c r="B58" s="29" t="s">
        <v>153</v>
      </c>
      <c r="C58" s="22" t="s">
        <v>154</v>
      </c>
    </row>
    <row r="59" ht="15.75" customHeight="1">
      <c r="B59" s="29" t="s">
        <v>155</v>
      </c>
      <c r="C59" s="22" t="s">
        <v>156</v>
      </c>
    </row>
    <row r="60" ht="15.75" customHeight="1">
      <c r="B60" s="29" t="s">
        <v>157</v>
      </c>
      <c r="C60" s="22" t="s">
        <v>158</v>
      </c>
    </row>
    <row r="61" ht="15.75" customHeight="1">
      <c r="B61" s="29" t="s">
        <v>159</v>
      </c>
      <c r="C61" s="22" t="s">
        <v>160</v>
      </c>
    </row>
    <row r="62" ht="15.75" customHeight="1">
      <c r="B62" s="29" t="s">
        <v>161</v>
      </c>
      <c r="C62" s="22" t="s">
        <v>162</v>
      </c>
    </row>
    <row r="63" ht="15.75" customHeight="1">
      <c r="B63" s="29" t="s">
        <v>163</v>
      </c>
      <c r="C63" s="22" t="s">
        <v>164</v>
      </c>
    </row>
    <row r="64" ht="15.75" customHeight="1">
      <c r="C64" s="22"/>
    </row>
    <row r="65" ht="15.75" customHeight="1">
      <c r="C65" s="22"/>
    </row>
    <row r="66" ht="14.25" customHeight="1">
      <c r="B66" s="30" t="s">
        <v>49</v>
      </c>
      <c r="C66" s="9" t="s">
        <v>50</v>
      </c>
      <c r="D66" s="5" t="s">
        <v>21</v>
      </c>
      <c r="E66" s="9" t="s">
        <v>51</v>
      </c>
      <c r="F66" s="9" t="s">
        <v>52</v>
      </c>
      <c r="G66" s="13"/>
      <c r="H66" s="9" t="s">
        <v>13</v>
      </c>
      <c r="I66" s="9" t="s">
        <v>14</v>
      </c>
    </row>
    <row r="67" ht="15.75" customHeight="1">
      <c r="B67" s="29" t="s">
        <v>165</v>
      </c>
      <c r="C67" s="22" t="s">
        <v>166</v>
      </c>
      <c r="J67" s="22">
        <v>8.0</v>
      </c>
    </row>
    <row r="68" ht="15.75" customHeight="1">
      <c r="B68" s="29" t="s">
        <v>167</v>
      </c>
      <c r="C68" s="22" t="s">
        <v>168</v>
      </c>
    </row>
    <row r="69" ht="15.75" customHeight="1">
      <c r="B69" s="29" t="s">
        <v>169</v>
      </c>
      <c r="C69" s="22" t="s">
        <v>170</v>
      </c>
    </row>
    <row r="70" ht="15.75" customHeight="1">
      <c r="B70" s="29" t="s">
        <v>171</v>
      </c>
      <c r="C70" s="22" t="s">
        <v>172</v>
      </c>
    </row>
    <row r="71" ht="15.75" customHeight="1">
      <c r="B71" s="29" t="s">
        <v>173</v>
      </c>
      <c r="C71" s="22" t="s">
        <v>174</v>
      </c>
    </row>
    <row r="72" ht="15.75" customHeight="1">
      <c r="B72" s="29" t="s">
        <v>175</v>
      </c>
      <c r="C72" s="22" t="s">
        <v>176</v>
      </c>
    </row>
    <row r="73" ht="15.75" customHeight="1"/>
    <row r="74" ht="15.75" customHeight="1"/>
    <row r="75" ht="15.75" customHeight="1"/>
    <row r="76" ht="15.75" customHeight="1">
      <c r="B76" s="31" t="s">
        <v>177</v>
      </c>
    </row>
    <row r="77" ht="15.75" customHeight="1">
      <c r="B77" s="30" t="s">
        <v>41</v>
      </c>
      <c r="C77" s="4" t="s">
        <v>42</v>
      </c>
      <c r="D77" s="5" t="s">
        <v>34</v>
      </c>
      <c r="E77" s="9" t="s">
        <v>43</v>
      </c>
      <c r="F77" s="9" t="s">
        <v>44</v>
      </c>
      <c r="G77" s="11"/>
      <c r="H77" s="4" t="s">
        <v>13</v>
      </c>
      <c r="I77" s="4" t="s">
        <v>14</v>
      </c>
    </row>
    <row r="78" ht="15.75" customHeight="1">
      <c r="B78" s="29" t="s">
        <v>178</v>
      </c>
      <c r="C78" s="22" t="s">
        <v>179</v>
      </c>
      <c r="J78" s="22">
        <v>8.0</v>
      </c>
    </row>
    <row r="79" ht="15.75" customHeight="1">
      <c r="B79" s="29" t="s">
        <v>180</v>
      </c>
      <c r="C79" s="22" t="s">
        <v>181</v>
      </c>
    </row>
    <row r="80" ht="15.75" customHeight="1">
      <c r="B80" s="29" t="s">
        <v>182</v>
      </c>
      <c r="C80" s="22" t="s">
        <v>183</v>
      </c>
    </row>
    <row r="81" ht="15.75" customHeight="1">
      <c r="B81" s="29" t="s">
        <v>184</v>
      </c>
      <c r="C81" s="22" t="s">
        <v>185</v>
      </c>
    </row>
    <row r="82" ht="15.75" customHeight="1">
      <c r="B82" s="29" t="s">
        <v>186</v>
      </c>
      <c r="C82" s="22" t="s">
        <v>187</v>
      </c>
    </row>
    <row r="83" ht="15.75" customHeight="1">
      <c r="B83" s="29" t="s">
        <v>188</v>
      </c>
      <c r="C83" s="22" t="s">
        <v>189</v>
      </c>
    </row>
    <row r="84" ht="15.75" customHeight="1">
      <c r="C84" s="22"/>
    </row>
    <row r="85" ht="15.75" customHeight="1">
      <c r="C85" s="22"/>
    </row>
    <row r="86" ht="15.75" customHeight="1">
      <c r="B86" s="30" t="s">
        <v>45</v>
      </c>
      <c r="C86" s="4" t="s">
        <v>46</v>
      </c>
      <c r="D86" s="5" t="s">
        <v>34</v>
      </c>
      <c r="E86" s="9" t="s">
        <v>47</v>
      </c>
      <c r="F86" s="9" t="s">
        <v>48</v>
      </c>
      <c r="G86" s="11"/>
      <c r="H86" s="4" t="s">
        <v>13</v>
      </c>
      <c r="I86" s="4" t="s">
        <v>14</v>
      </c>
    </row>
    <row r="87" ht="15.75" customHeight="1">
      <c r="B87" s="29" t="s">
        <v>190</v>
      </c>
      <c r="C87" s="22" t="s">
        <v>191</v>
      </c>
      <c r="J87" s="22">
        <v>6.0</v>
      </c>
    </row>
    <row r="88" ht="15.75" customHeight="1">
      <c r="B88" s="29" t="s">
        <v>192</v>
      </c>
      <c r="C88" s="22" t="s">
        <v>193</v>
      </c>
    </row>
    <row r="89" ht="15.75" customHeight="1">
      <c r="B89" s="29" t="s">
        <v>194</v>
      </c>
      <c r="C89" s="22" t="s">
        <v>195</v>
      </c>
    </row>
    <row r="90" ht="15.75" customHeight="1">
      <c r="B90" s="29" t="s">
        <v>196</v>
      </c>
      <c r="C90" s="22" t="s">
        <v>197</v>
      </c>
    </row>
    <row r="91" ht="15.75" customHeight="1">
      <c r="B91" s="29" t="s">
        <v>198</v>
      </c>
      <c r="C91" s="22" t="s">
        <v>199</v>
      </c>
    </row>
    <row r="92" ht="15.75" customHeight="1">
      <c r="B92" s="29" t="s">
        <v>200</v>
      </c>
      <c r="C92" s="22" t="s">
        <v>201</v>
      </c>
    </row>
    <row r="93" ht="15.75" customHeight="1"/>
    <row r="94" ht="15.75" customHeight="1">
      <c r="B94" s="30" t="s">
        <v>53</v>
      </c>
      <c r="C94" s="9" t="s">
        <v>54</v>
      </c>
      <c r="D94" s="5" t="s">
        <v>21</v>
      </c>
      <c r="E94" s="9" t="s">
        <v>55</v>
      </c>
      <c r="F94" s="9" t="s">
        <v>56</v>
      </c>
      <c r="G94" s="13"/>
      <c r="H94" s="9" t="s">
        <v>13</v>
      </c>
      <c r="I94" s="9" t="s">
        <v>14</v>
      </c>
    </row>
    <row r="95" ht="15.75" customHeight="1">
      <c r="B95" s="29" t="s">
        <v>202</v>
      </c>
      <c r="C95" s="22" t="s">
        <v>203</v>
      </c>
      <c r="J95" s="22">
        <v>6.0</v>
      </c>
    </row>
    <row r="96" ht="15.75" customHeight="1">
      <c r="B96" s="29" t="s">
        <v>204</v>
      </c>
      <c r="C96" s="22" t="s">
        <v>205</v>
      </c>
    </row>
    <row r="97" ht="15.75" customHeight="1">
      <c r="B97" s="29" t="s">
        <v>206</v>
      </c>
      <c r="C97" s="22" t="s">
        <v>207</v>
      </c>
    </row>
    <row r="98" ht="15.75" customHeight="1">
      <c r="B98" s="29" t="s">
        <v>208</v>
      </c>
      <c r="C98" s="22" t="s">
        <v>209</v>
      </c>
    </row>
    <row r="99" ht="15.75" customHeight="1">
      <c r="B99" s="29" t="s">
        <v>210</v>
      </c>
      <c r="C99" s="22" t="s">
        <v>211</v>
      </c>
    </row>
    <row r="100" ht="15.75" customHeight="1">
      <c r="B100" s="29" t="s">
        <v>212</v>
      </c>
      <c r="C100" s="22" t="s">
        <v>213</v>
      </c>
    </row>
    <row r="101" ht="15.75" customHeight="1">
      <c r="B101" s="29" t="s">
        <v>214</v>
      </c>
      <c r="C101" s="22" t="s">
        <v>199</v>
      </c>
    </row>
    <row r="102" ht="15.75" customHeight="1">
      <c r="C102" s="22"/>
    </row>
    <row r="103" ht="15.75" customHeight="1">
      <c r="C103" s="22"/>
    </row>
    <row r="104" ht="15.75" customHeight="1">
      <c r="B104" s="32" t="s">
        <v>215</v>
      </c>
      <c r="D104" s="22" t="s">
        <v>216</v>
      </c>
    </row>
    <row r="105">
      <c r="B105" s="18" t="s">
        <v>217</v>
      </c>
      <c r="C105" s="4" t="s">
        <v>58</v>
      </c>
      <c r="D105" s="5" t="s">
        <v>21</v>
      </c>
      <c r="E105" s="4" t="s">
        <v>59</v>
      </c>
      <c r="F105" s="4" t="s">
        <v>60</v>
      </c>
      <c r="G105" s="6"/>
      <c r="H105" s="4" t="s">
        <v>61</v>
      </c>
      <c r="I105" s="6" t="s">
        <v>14</v>
      </c>
    </row>
    <row r="106" ht="15.75" customHeight="1">
      <c r="B106" s="22" t="s">
        <v>218</v>
      </c>
      <c r="C106" s="22" t="s">
        <v>219</v>
      </c>
      <c r="J106" s="22">
        <v>5.0</v>
      </c>
    </row>
    <row r="107" ht="15.75" customHeight="1">
      <c r="B107" s="22" t="s">
        <v>220</v>
      </c>
      <c r="C107" s="22" t="s">
        <v>221</v>
      </c>
    </row>
    <row r="108" ht="15.75" customHeight="1">
      <c r="B108" s="22" t="s">
        <v>222</v>
      </c>
      <c r="C108" s="22" t="s">
        <v>223</v>
      </c>
    </row>
    <row r="109" ht="15.75" customHeight="1">
      <c r="B109" s="22" t="s">
        <v>224</v>
      </c>
      <c r="C109" s="22" t="s">
        <v>225</v>
      </c>
    </row>
    <row r="110" ht="15.75" customHeight="1">
      <c r="B110" s="22" t="s">
        <v>226</v>
      </c>
      <c r="C110" s="22" t="s">
        <v>227</v>
      </c>
    </row>
    <row r="111" ht="15.75" customHeight="1"/>
    <row r="112" ht="15.75" customHeight="1"/>
    <row r="113" ht="15.75" customHeight="1"/>
    <row r="114">
      <c r="B114" s="30" t="s">
        <v>62</v>
      </c>
      <c r="C114" s="4" t="s">
        <v>63</v>
      </c>
      <c r="D114" s="5" t="s">
        <v>21</v>
      </c>
      <c r="E114" s="8" t="s">
        <v>64</v>
      </c>
      <c r="F114" s="4" t="s">
        <v>65</v>
      </c>
      <c r="G114" s="6"/>
      <c r="H114" s="4" t="s">
        <v>61</v>
      </c>
      <c r="I114" s="6" t="s">
        <v>14</v>
      </c>
    </row>
    <row r="115" ht="15.75" customHeight="1">
      <c r="B115" s="29" t="s">
        <v>228</v>
      </c>
      <c r="C115" s="22" t="s">
        <v>229</v>
      </c>
      <c r="J115" s="22">
        <v>1.0</v>
      </c>
    </row>
    <row r="116" ht="15.75" customHeight="1">
      <c r="B116" s="29" t="s">
        <v>230</v>
      </c>
      <c r="C116" s="22" t="s">
        <v>231</v>
      </c>
    </row>
    <row r="117" ht="15.75" customHeight="1">
      <c r="B117" s="29" t="s">
        <v>232</v>
      </c>
      <c r="C117" s="22" t="s">
        <v>233</v>
      </c>
    </row>
    <row r="118" ht="15.75" customHeight="1">
      <c r="B118" s="29" t="s">
        <v>234</v>
      </c>
      <c r="C118" s="22" t="s">
        <v>235</v>
      </c>
    </row>
    <row r="119" ht="15.75" customHeight="1">
      <c r="B119" s="29" t="s">
        <v>236</v>
      </c>
      <c r="C119" s="22" t="s">
        <v>237</v>
      </c>
    </row>
    <row r="120" ht="15.75" customHeight="1">
      <c r="B120" s="29" t="s">
        <v>238</v>
      </c>
      <c r="C120" s="22" t="s">
        <v>239</v>
      </c>
    </row>
    <row r="121" ht="15.75" customHeight="1">
      <c r="B121" s="29" t="s">
        <v>240</v>
      </c>
      <c r="C121" s="22" t="s">
        <v>241</v>
      </c>
    </row>
    <row r="122" ht="15.75" customHeight="1">
      <c r="C122" s="22"/>
    </row>
    <row r="123">
      <c r="B123" s="30" t="s">
        <v>66</v>
      </c>
      <c r="C123" s="4" t="s">
        <v>67</v>
      </c>
      <c r="D123" s="5" t="s">
        <v>21</v>
      </c>
      <c r="E123" s="4" t="s">
        <v>68</v>
      </c>
      <c r="F123" s="4" t="s">
        <v>69</v>
      </c>
      <c r="G123" s="6"/>
      <c r="H123" s="4" t="s">
        <v>61</v>
      </c>
      <c r="I123" s="6" t="s">
        <v>14</v>
      </c>
    </row>
    <row r="124" ht="15.75" customHeight="1">
      <c r="B124" s="29" t="s">
        <v>242</v>
      </c>
      <c r="C124" s="22" t="s">
        <v>243</v>
      </c>
      <c r="J124" s="22">
        <v>2.0</v>
      </c>
    </row>
    <row r="125" ht="15.75" customHeight="1">
      <c r="B125" s="29" t="s">
        <v>244</v>
      </c>
      <c r="C125" s="22" t="s">
        <v>245</v>
      </c>
    </row>
    <row r="126" ht="15.75" customHeight="1">
      <c r="B126" s="29" t="s">
        <v>246</v>
      </c>
      <c r="C126" s="22" t="s">
        <v>245</v>
      </c>
    </row>
    <row r="127" ht="15.75" customHeight="1">
      <c r="B127" s="29" t="s">
        <v>247</v>
      </c>
      <c r="C127" s="22" t="s">
        <v>248</v>
      </c>
    </row>
    <row r="128" ht="15.75" customHeight="1">
      <c r="B128" s="29" t="s">
        <v>249</v>
      </c>
      <c r="C128" s="22" t="s">
        <v>250</v>
      </c>
    </row>
    <row r="129" ht="15.75" customHeight="1">
      <c r="B129" s="29" t="s">
        <v>251</v>
      </c>
      <c r="C129" s="22" t="s">
        <v>252</v>
      </c>
    </row>
    <row r="130" ht="15.75" customHeight="1">
      <c r="B130" s="29" t="s">
        <v>253</v>
      </c>
      <c r="C130" s="22" t="s">
        <v>254</v>
      </c>
    </row>
    <row r="131" ht="15.75" customHeight="1">
      <c r="B131" s="29" t="s">
        <v>255</v>
      </c>
      <c r="C131" s="22" t="s">
        <v>256</v>
      </c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2">
    <mergeCell ref="C5:F5"/>
    <mergeCell ref="C6:F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4.5"/>
    <col customWidth="1" min="3" max="9" width="12.5"/>
  </cols>
  <sheetData>
    <row r="1" ht="15.75" customHeight="1"/>
    <row r="2" ht="15.75" customHeight="1"/>
    <row r="3" ht="15.75" customHeight="1">
      <c r="B3" s="24"/>
      <c r="C3" s="24" t="s">
        <v>257</v>
      </c>
      <c r="D3" s="24" t="s">
        <v>258</v>
      </c>
      <c r="E3" s="24" t="s">
        <v>259</v>
      </c>
      <c r="F3" s="24" t="s">
        <v>260</v>
      </c>
      <c r="G3" s="24" t="s">
        <v>261</v>
      </c>
      <c r="H3" s="24" t="s">
        <v>262</v>
      </c>
      <c r="I3" s="24" t="s">
        <v>263</v>
      </c>
    </row>
    <row r="4" ht="15.75" customHeight="1">
      <c r="B4" s="33" t="s">
        <v>264</v>
      </c>
      <c r="C4" s="34">
        <v>4.0</v>
      </c>
      <c r="D4" s="25">
        <v>0.0</v>
      </c>
      <c r="E4" s="25">
        <v>1.0</v>
      </c>
      <c r="F4" s="25">
        <v>1.0</v>
      </c>
      <c r="G4" s="25">
        <v>0.0</v>
      </c>
      <c r="H4" s="25">
        <v>1.0</v>
      </c>
      <c r="I4" s="35">
        <f t="shared" ref="I4:I5" si="1">SUM(D4:H4)</f>
        <v>3</v>
      </c>
    </row>
    <row r="5" ht="15.75" customHeight="1">
      <c r="B5" s="33" t="s">
        <v>265</v>
      </c>
      <c r="C5" s="34">
        <v>5.0</v>
      </c>
      <c r="D5" s="25">
        <v>0.0</v>
      </c>
      <c r="E5" s="25">
        <v>1.0</v>
      </c>
      <c r="F5" s="25">
        <v>2.0</v>
      </c>
      <c r="G5" s="25">
        <v>1.0</v>
      </c>
      <c r="H5" s="25">
        <v>1.0</v>
      </c>
      <c r="I5" s="35">
        <f t="shared" si="1"/>
        <v>5</v>
      </c>
    </row>
    <row r="6" ht="15.75" customHeight="1"/>
    <row r="7" ht="15.75" customHeight="1"/>
    <row r="8" ht="15.75" customHeight="1"/>
    <row r="9" ht="15.75" customHeight="1"/>
    <row r="10" ht="15.75" customHeight="1">
      <c r="B10" s="36" t="s">
        <v>266</v>
      </c>
      <c r="C10" s="24">
        <f>SUM(C4:C5)</f>
        <v>9</v>
      </c>
      <c r="D10" s="24">
        <f t="shared" ref="D10:H10" si="2">C10-SUM(D4:D5)</f>
        <v>9</v>
      </c>
      <c r="E10" s="24">
        <f t="shared" si="2"/>
        <v>7</v>
      </c>
      <c r="F10" s="24">
        <f t="shared" si="2"/>
        <v>4</v>
      </c>
      <c r="G10" s="24">
        <f t="shared" si="2"/>
        <v>3</v>
      </c>
      <c r="H10" s="24">
        <f t="shared" si="2"/>
        <v>1</v>
      </c>
    </row>
    <row r="11" ht="15.75" customHeight="1">
      <c r="B11" s="36" t="s">
        <v>267</v>
      </c>
      <c r="C11" s="24">
        <f>SUM(C4:C5)</f>
        <v>9</v>
      </c>
      <c r="D11" s="24">
        <f>C11-(SUM(C4:C5)/5)</f>
        <v>7.2</v>
      </c>
      <c r="E11" s="24">
        <f>D11-(SUM(C4:C5)/5)</f>
        <v>5.4</v>
      </c>
      <c r="F11" s="24">
        <f>E11-(SUM(C4:C5)/5)</f>
        <v>3.6</v>
      </c>
      <c r="G11" s="24">
        <f>F11-(SUM(C4:C5)/5)</f>
        <v>1.8</v>
      </c>
      <c r="H11" s="24">
        <f>G11-(SUM(C4:C5)/5)</f>
        <v>0</v>
      </c>
    </row>
    <row r="12" ht="15.75" customHeight="1"/>
    <row r="13" ht="15.75" customHeight="1"/>
    <row r="14" ht="15.75" customHeight="1"/>
    <row r="15" ht="15.75" customHeight="1">
      <c r="B15" s="37" t="s">
        <v>268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5:G2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