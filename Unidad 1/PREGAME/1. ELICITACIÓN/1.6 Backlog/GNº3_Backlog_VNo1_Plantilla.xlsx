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0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<sst xmlns="http://schemas.openxmlformats.org/spreadsheetml/2006/main" count="331" uniqueCount="190">
  <si>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</si>
  <si>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</si>
  <si>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</si>
  <si>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</si>
  <si>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</si>
  <si>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</si>
  <si>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</si>
  <si>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</si>
  <si>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RF01 Mingo</t>
  </si>
  <si>
    <t>Registro de usuarios</t>
  </si>
  <si>
    <t>Usuario</t>
  </si>
  <si>
    <t>Necesito administrar a los usuarios nuevos que se registran en la aplicación MinGo.</t>
  </si>
  <si>
    <t>Garantizar que el sistema almacene y gestione correctamente la información de los usuarios registrados.</t>
  </si>
  <si>
    <t>Obligatorio</t>
  </si>
  <si>
    <t>En Proceso</t>
  </si>
  <si>
    <t>RF02 Mingo</t>
  </si>
  <si>
    <t>Inicio de sesión</t>
  </si>
  <si>
    <t>Iniciar sesión en la aplicación MinGo mediante las credenciales previamente ingresadas.</t>
  </si>
  <si>
    <t>Acceder de forma segura a todas las funcionalidades permitidas según mi rol.</t>
  </si>
  <si>
    <t>RF03 Mingo</t>
  </si>
  <si>
    <t>Categorizar aprendizaje de señas por edad del niño</t>
  </si>
  <si>
    <t>Padre</t>
  </si>
  <si>
    <t>Lograr seleccionar la categoría de aprendizaje de señas según la edad de mi hijo.</t>
  </si>
  <si>
    <t>Recibir contenido adaptado al nivel de desarrollo y aprendizaje del niño.</t>
  </si>
  <si>
    <t>RF04 Mingo</t>
  </si>
  <si>
    <t>Enlazar clase</t>
  </si>
  <si>
    <t>Enlazarme a una clase proporcionada por el docente mediante un código o enlace.</t>
  </si>
  <si>
    <t>Acceder a las lecciones y actividades correspondientes a la clase asignada.</t>
  </si>
  <si>
    <t>RF05 Mingo</t>
  </si>
  <si>
    <t>Categorizar frases comunes</t>
  </si>
  <si>
    <t>Acceder a frases comunes clasificadas en categorías</t>
  </si>
  <si>
    <t>Aprender y enseñar frases útiles de forma organizada y progresiva</t>
  </si>
  <si>
    <t>RF06 Mingo</t>
  </si>
  <si>
    <t xml:space="preserve">Generar código de clase </t>
  </si>
  <si>
    <t>Docente</t>
  </si>
  <si>
    <t>Generar un código único para cada nueva clase</t>
  </si>
  <si>
    <t>Permitir que los padres se unan a la clase correspondiente de manera controlada.</t>
  </si>
  <si>
    <t>RF07 Mingo</t>
  </si>
  <si>
    <t>Importar contenido</t>
  </si>
  <si>
    <t>Importar contenido educativo al sistema (videos, imágenes, actividades, señas).</t>
  </si>
  <si>
    <t>Incorporar nuevo material para las clases y enriquecer el proceso de enseñanza.</t>
  </si>
  <si>
    <t>RF08 Mingo</t>
  </si>
  <si>
    <t xml:space="preserve">Visualizar progreso del padre </t>
  </si>
  <si>
    <t>Visualizar el progreso de los padres en el aprendizaje de señas.</t>
  </si>
  <si>
    <t>Realizar seguimiento, identificar avances o dificultades y ajustar la enseñanza.</t>
  </si>
  <si>
    <t>RF09 Mingo</t>
  </si>
  <si>
    <t>Ver historial de palabras aprendidas</t>
  </si>
  <si>
    <t>Consultar el historial de palabras aprendidas por cada padre.</t>
  </si>
  <si>
    <t>Evaluar su evolución y planificar retroalimentación personalizada.</t>
  </si>
  <si>
    <t>RF10 Mingo</t>
  </si>
  <si>
    <t>Descargar contenido del sistema</t>
  </si>
  <si>
    <t>Descargar contenido educativo desde la aplicación.</t>
  </si>
  <si>
    <t>Practicar las señas sin conexión y reforzar mi aprendizaje en casa.</t>
  </si>
  <si>
    <t>RF11 Mingo</t>
  </si>
  <si>
    <t>Acceder a contenido exclusivo</t>
  </si>
  <si>
    <t>Acceder a contenido exclusivo disponible según mi tipo de suscripción o clase.</t>
  </si>
  <si>
    <t>Obtener material adicional que complementa el aprendizaje de señas.</t>
  </si>
  <si>
    <t>RF12 Mingo</t>
  </si>
  <si>
    <t>Guía por funcionalidad del sistema</t>
  </si>
  <si>
    <t>Implementar un componente de tour interactivo que detecte el primer inicio de sesión del actor.</t>
  </si>
  <si>
    <t>Asegurar que el usuario comprenda el flujo de la aplicación, reduciendo la confusión y el abandono por no saber cómo empezar.</t>
  </si>
  <si>
    <t>Conveniente</t>
  </si>
  <si>
    <t>RF13 Mingo</t>
  </si>
  <si>
    <t>Realizar prueba de conocimiento</t>
  </si>
  <si>
    <t>Implementar un formulario validado que envíe los datos a un algoritmo, el cual guardará el nivel y categoría del usuario antes de redirigirlo al siguiente módulo.</t>
  </si>
  <si>
    <t>Asegurar un flujo preciso del usuario para personalizar su experiencia, garantizando que se guarde correctamente antes de avanzar en el sistema.</t>
  </si>
  <si>
    <t>RF14 Mingo</t>
  </si>
  <si>
    <t>Filtrar contenido</t>
  </si>
  <si>
    <t>Implementar la búsqueda que filtre por coincidencias de texto y ordene los resultados por contador de visualizaciones, validando entradas vacías.</t>
  </si>
  <si>
    <t>Agilizar la localización de contenidos específicos entregando resultados priorizados por relevancia.</t>
  </si>
  <si>
    <t>SPRINT 0</t>
  </si>
  <si>
    <t>Necesito</t>
  </si>
  <si>
    <t>así podre...</t>
  </si>
  <si>
    <t>encargado</t>
  </si>
  <si>
    <t>Prioridad</t>
  </si>
  <si>
    <t>Status</t>
  </si>
  <si>
    <t>RF01</t>
  </si>
  <si>
    <t>RF01-1</t>
  </si>
  <si>
    <t>Crear la maqueta o prototipo del formulario</t>
  </si>
  <si>
    <t>RF01-2</t>
  </si>
  <si>
    <t>Definir los campos obligatorios (ej: nombre, correo, contraseña)</t>
  </si>
  <si>
    <t>RF01-3</t>
  </si>
  <si>
    <t>Definir mensajes de validación (correo inválido, contraseña débil).</t>
  </si>
  <si>
    <t>RF01-4</t>
  </si>
  <si>
    <t>Implementar el formulario en la aplicación</t>
  </si>
  <si>
    <t>RF01-5</t>
  </si>
  <si>
    <t>Enviar los datos al endpoint de registro.</t>
  </si>
  <si>
    <t>RF01-6</t>
  </si>
  <si>
    <t>Mostrar mensajes al usuario según la respuesta (éxito/error).</t>
  </si>
  <si>
    <t>RF01-7</t>
  </si>
  <si>
    <t>Verificar que no permita enviar campos vacíos.</t>
  </si>
  <si>
    <t>RF01-8</t>
  </si>
  <si>
    <t>Verificar que no permita formato incorrecto.</t>
  </si>
  <si>
    <t>RF01-9</t>
  </si>
  <si>
    <t>Verificar que se envíen datos correctamente al backend.</t>
  </si>
  <si>
    <t>RF02</t>
  </si>
  <si>
    <t>RF02-1</t>
  </si>
  <si>
    <t>Definir los datos necesarios para iniciar sesión (correo/usuario y contraseña).</t>
  </si>
  <si>
    <t>RF02-2</t>
  </si>
  <si>
    <t>Establecer las reglas de autenticación (comparar contraseña encriptada, validar usuario activo).</t>
  </si>
  <si>
    <t>RF02-3</t>
  </si>
  <si>
    <t>Definir cómo se manejará la sesión: Token JWT, Cookie de sesión y Tiempo de expiración</t>
  </si>
  <si>
    <t>RF02-4</t>
  </si>
  <si>
    <t>Crear formulario de inicio de sesión con: Email o usuario y Contraseña</t>
  </si>
  <si>
    <t>RF02-5</t>
  </si>
  <si>
    <t>Implementar validaciones en frontend: Campos vacíos y Formato válido de correo</t>
  </si>
  <si>
    <t>RF02-6</t>
  </si>
  <si>
    <t>Enviar las credenciales al endpoint de login.</t>
  </si>
  <si>
    <t>RF02-7</t>
  </si>
  <si>
    <t>Guardar token en localStorage/sessionStorage (o cookie segura).</t>
  </si>
  <si>
    <t>RF02-8</t>
  </si>
  <si>
    <t>Redirigir a la pantalla principal según el rol.</t>
  </si>
  <si>
    <t>RFQ03</t>
  </si>
  <si>
    <t>RF03-1</t>
  </si>
  <si>
    <t>Implementar un listado de las diferentes categorias que existes segun el tipo de aprendizaje</t>
  </si>
  <si>
    <t>RF03-2</t>
  </si>
  <si>
    <t>Definir estilos de plantilla maquetada como base para crear el listado de categorias</t>
  </si>
  <si>
    <t>RF03-3</t>
  </si>
  <si>
    <t>Crear los widgets visuales para cada categoría</t>
  </si>
  <si>
    <t>RF03-4</t>
  </si>
  <si>
    <t>Integrar los widgets ReQ003-4 en una pantalla donde el padre hace la selección obligatoria antes de entrar al contenido.</t>
  </si>
  <si>
    <t>RF03-5</t>
  </si>
  <si>
    <t>Crear un filtro básico que, según la edad seleccionada, muestre una lista de prueba diferente</t>
  </si>
  <si>
    <t>RF03-6</t>
  </si>
  <si>
    <t>Verificar que al cerrar y abrir la app, la categoría de edad seleccionada se mantiene.</t>
  </si>
  <si>
    <t>RF06</t>
  </si>
  <si>
    <t>RF06-1</t>
  </si>
  <si>
    <t>Diseñar una pantalla o módulo llamado "Mis Clases" o "Crear Clase".</t>
  </si>
  <si>
    <t>RF06-2</t>
  </si>
  <si>
    <t>Incluir botones: Crear nueva clase, generar código, copiar código y actualizar código (si es permitido)</t>
  </si>
  <si>
    <t>RF06-3</t>
  </si>
  <si>
    <t>Creación de un formulario para la creación de clase</t>
  </si>
  <si>
    <t>RF06-4</t>
  </si>
  <si>
    <t>Validaciones del formulario</t>
  </si>
  <si>
    <t>SPRINT 1</t>
  </si>
  <si>
    <t>RF05-1</t>
  </si>
  <si>
    <t>Diseñar una pantalla o sección llamada “Frases Comunes”</t>
  </si>
  <si>
    <t>RF05-2</t>
  </si>
  <si>
    <t>Desarrollar un menu para el usuario</t>
  </si>
  <si>
    <t>RF05-3</t>
  </si>
  <si>
    <t>Realizar paginación 10 archivos ya sea imagenes o videos por página</t>
  </si>
  <si>
    <t>RF04-1</t>
  </si>
  <si>
    <t>RF04-2</t>
  </si>
  <si>
    <t>RF04-3</t>
  </si>
  <si>
    <t>RF07-1</t>
  </si>
  <si>
    <t>RF07-2</t>
  </si>
  <si>
    <t>RF07-3</t>
  </si>
  <si>
    <t>RF10-1</t>
  </si>
  <si>
    <t>RF10-2</t>
  </si>
  <si>
    <t>RF10-3</t>
  </si>
  <si>
    <t>SPRINT 2</t>
  </si>
  <si>
    <t>RF08-1</t>
  </si>
  <si>
    <t>RF08-2</t>
  </si>
  <si>
    <t>RF08-3</t>
  </si>
  <si>
    <t>RF09-1</t>
  </si>
  <si>
    <t>RF09-2</t>
  </si>
  <si>
    <t>RF09-3</t>
  </si>
  <si>
    <t>RF11-1</t>
  </si>
  <si>
    <t>RF11-2</t>
  </si>
  <si>
    <t>RF11-3</t>
  </si>
  <si>
    <t>SPRINT 3</t>
  </si>
  <si>
    <t>RF012</t>
  </si>
  <si>
    <t>RF12-1</t>
  </si>
  <si>
    <t>Diseñar componentes visuales del tour (tooltips/modales)</t>
  </si>
  <si>
    <t>RF12-2</t>
  </si>
  <si>
    <t>Frontend: Lógica para detectar estado "primer login"</t>
  </si>
  <si>
    <t>RF12-3</t>
  </si>
  <si>
    <t>Frontend: Orquestar secuencia de pasos (Home -&gt; Enlace -&gt; Progreso)</t>
  </si>
  <si>
    <t>RF12-4</t>
  </si>
  <si>
    <t>Backend: Endpoint para actualizar flag "Guía Vistra"</t>
  </si>
  <si>
    <t>RF12-5</t>
  </si>
  <si>
    <t>QA: Verificar que la guía no aparezca en 2do inicio de sesión</t>
  </si>
  <si>
    <t>RF13-1</t>
  </si>
  <si>
    <t>RF13-2</t>
  </si>
  <si>
    <t>RF13-3</t>
  </si>
  <si>
    <t>RF14-1</t>
  </si>
  <si>
    <t>RF14-2</t>
  </si>
  <si>
    <t>RF14-3</t>
  </si>
  <si>
    <t>Estimado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</si>
  <si>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</si>
  <si>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</si>
  <si>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</si>
  <si>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</si>
  <si>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</si>
  <si>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</si>
  <si>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</si>
  <si>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</si>
  <si>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Horas Estimadas</t>
  </si>
  <si>
    <t>Horas Estimadas
Restantes</t>
  </si>
  <si>
    <t>Durante el proceso de desarrollo del producto software,CONCLUSION DEL ESFUERZO CALCULADO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</si>
</sst>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2F5496"/>
      <name val="Arial"/>
    </font>
    <font>
      <sz val="10.0"/>
      <color rgb="FF0000FF"/>
      <name val="Arial"/>
    </font>
    <font>
      <color rgb="FF000000"/>
      <name val="Arial"/>
    </font>
    <font>
      <sz val="10.0"/>
      <color rgb="FF0000FF"/>
      <name val="Roboto"/>
    </font>
    <font>
      <color rgb="FF0000FF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5.0"/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color rgb="FF4472C4"/>
      <name val="Arial"/>
      <scheme val="minor"/>
    </font>
    <font>
      <color theme="4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2" fontId="3" numFmtId="0" xfId="0" applyAlignment="1" applyBorder="1" applyFill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shrinkToFit="0" wrapText="1"/>
    </xf>
    <xf borderId="0" fillId="0" fontId="3" numFmtId="0" xfId="0" applyFont="1"/>
    <xf borderId="1" fillId="3" fontId="6" numFmtId="0" xfId="0" applyAlignment="1" applyBorder="1" applyFill="1" applyFont="1">
      <alignment readingOrder="0" shrinkToFit="0" wrapText="1"/>
    </xf>
    <xf borderId="1" fillId="0" fontId="7" numFmtId="0" xfId="0" applyAlignment="1" applyBorder="1" applyFont="1">
      <alignment readingOrder="0"/>
    </xf>
    <xf borderId="1" fillId="4" fontId="3" numFmtId="0" xfId="0" applyAlignment="1" applyBorder="1" applyFill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1" fillId="5" fontId="3" numFmtId="0" xfId="0" applyAlignment="1" applyBorder="1" applyFill="1" applyFont="1">
      <alignment readingOrder="0" shrinkToFit="0" wrapText="1"/>
    </xf>
    <xf borderId="1" fillId="0" fontId="9" numFmtId="0" xfId="0" applyBorder="1" applyFont="1"/>
    <xf borderId="1" fillId="6" fontId="3" numFmtId="0" xfId="0" applyAlignment="1" applyBorder="1" applyFill="1" applyFont="1">
      <alignment readingOrder="0" shrinkToFit="0" wrapText="1"/>
    </xf>
    <xf borderId="1" fillId="7" fontId="3" numFmtId="0" xfId="0" applyAlignment="1" applyBorder="1" applyFill="1" applyFont="1">
      <alignment readingOrder="0" shrinkToFit="0" wrapText="1"/>
    </xf>
    <xf borderId="0" fillId="2" fontId="10" numFmtId="0" xfId="0" applyAlignment="1" applyFont="1">
      <alignment readingOrder="0"/>
    </xf>
    <xf borderId="0" fillId="0" fontId="11" numFmtId="0" xfId="0" applyAlignment="1" applyFont="1">
      <alignment horizontal="center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9" numFmtId="0" xfId="0" applyAlignment="1" applyFont="1">
      <alignment readingOrder="0"/>
    </xf>
    <xf borderId="0" fillId="0" fontId="12" numFmtId="0" xfId="0" applyFont="1"/>
    <xf borderId="0" fillId="0" fontId="8" numFmtId="0" xfId="0" applyFont="1"/>
    <xf borderId="0" fillId="0" fontId="8" numFmtId="0" xfId="0" applyAlignment="1" applyFont="1">
      <alignment horizontal="right"/>
    </xf>
    <xf borderId="0" fillId="0" fontId="3" numFmtId="0" xfId="0" applyAlignment="1" applyFont="1">
      <alignment readingOrder="0" shrinkToFit="0" wrapText="1"/>
    </xf>
    <xf borderId="0" fillId="4" fontId="10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1" fillId="3" fontId="3" numFmtId="0" xfId="0" applyAlignment="1" applyBorder="1" applyFont="1">
      <alignment readingOrder="0" shrinkToFit="0" wrapText="1"/>
    </xf>
    <xf borderId="0" fillId="5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Font="1"/>
    <xf borderId="2" fillId="8" fontId="8" numFmtId="0" xfId="0" applyAlignment="1" applyBorder="1" applyFill="1" applyFont="1">
      <alignment horizontal="right"/>
    </xf>
    <xf borderId="2" fillId="9" fontId="8" numFmtId="0" xfId="0" applyAlignment="1" applyBorder="1" applyFill="1" applyFont="1">
      <alignment horizontal="right"/>
    </xf>
    <xf borderId="2" fillId="10" fontId="8" numFmtId="0" xfId="0" applyBorder="1" applyFill="1" applyFont="1"/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urdonchar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054470691163605"/>
          <c:y val="0.05750224618149147"/>
          <c:w val="0.869455293088364"/>
          <c:h val="0.789938804819209"/>
        </c:manualLayout>
      </c:layout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burdonchart!$B$10:$H$10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burdonchart!$B$11:$H$11</c:f>
              <c:numCache/>
            </c:numRef>
          </c:val>
          <c:smooth val="0"/>
        </c:ser>
        <c:axId val="881288387"/>
        <c:axId val="262726396"/>
      </c:lineChart>
      <c:catAx>
        <c:axId val="881288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2726396"/>
      </c:catAx>
      <c:valAx>
        <c:axId val="262726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128838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161925</xdr:colOff>
      <xdr:row>8</xdr:row>
      <xdr:rowOff>142875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I4:I5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0.25"/>
    <col customWidth="1" min="3" max="3" width="36.0"/>
    <col customWidth="1" min="4" max="4" width="62.38"/>
    <col customWidth="1" min="5" max="5" width="58.38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6"/>
      <c r="G2" s="4" t="s">
        <v>13</v>
      </c>
      <c r="H2" s="6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15</v>
      </c>
      <c r="B3" s="4" t="s">
        <v>16</v>
      </c>
      <c r="C3" s="5" t="s">
        <v>10</v>
      </c>
      <c r="D3" s="8" t="s">
        <v>17</v>
      </c>
      <c r="E3" s="9" t="s">
        <v>18</v>
      </c>
      <c r="F3" s="6"/>
      <c r="G3" s="4" t="s">
        <v>13</v>
      </c>
      <c r="H3" s="6" t="s">
        <v>14</v>
      </c>
    </row>
    <row r="4">
      <c r="A4" s="3" t="s">
        <v>19</v>
      </c>
      <c r="B4" s="4" t="s">
        <v>20</v>
      </c>
      <c r="C4" s="5" t="s">
        <v>21</v>
      </c>
      <c r="D4" s="4" t="s">
        <v>22</v>
      </c>
      <c r="E4" s="9" t="s">
        <v>23</v>
      </c>
      <c r="F4" s="6"/>
      <c r="G4" s="4" t="s">
        <v>13</v>
      </c>
      <c r="H4" s="6" t="s">
        <v>14</v>
      </c>
    </row>
    <row r="5">
      <c r="A5" s="10" t="s">
        <v>24</v>
      </c>
      <c r="B5" s="4" t="s">
        <v>25</v>
      </c>
      <c r="C5" s="5" t="s">
        <v>21</v>
      </c>
      <c r="D5" s="9" t="s">
        <v>26</v>
      </c>
      <c r="E5" s="9" t="s">
        <v>27</v>
      </c>
      <c r="F5" s="6"/>
      <c r="G5" s="4" t="s">
        <v>13</v>
      </c>
      <c r="H5" s="6" t="s">
        <v>14</v>
      </c>
    </row>
    <row r="6">
      <c r="A6" s="10" t="s">
        <v>28</v>
      </c>
      <c r="B6" s="4" t="s">
        <v>29</v>
      </c>
      <c r="C6" s="5" t="s">
        <v>21</v>
      </c>
      <c r="D6" s="9" t="s">
        <v>30</v>
      </c>
      <c r="E6" s="9" t="s">
        <v>31</v>
      </c>
      <c r="F6" s="6"/>
      <c r="G6" s="4" t="s">
        <v>13</v>
      </c>
      <c r="H6" s="4" t="s">
        <v>14</v>
      </c>
    </row>
    <row r="7" ht="15.75" customHeight="1">
      <c r="A7" s="3" t="s">
        <v>32</v>
      </c>
      <c r="B7" s="4" t="s">
        <v>33</v>
      </c>
      <c r="C7" s="5" t="s">
        <v>34</v>
      </c>
      <c r="D7" s="9" t="s">
        <v>35</v>
      </c>
      <c r="E7" s="9" t="s">
        <v>36</v>
      </c>
      <c r="F7" s="11"/>
      <c r="G7" s="4" t="s">
        <v>13</v>
      </c>
      <c r="H7" s="4" t="s">
        <v>14</v>
      </c>
    </row>
    <row r="8" ht="15.75" customHeight="1">
      <c r="A8" s="10" t="s">
        <v>37</v>
      </c>
      <c r="B8" s="4" t="s">
        <v>38</v>
      </c>
      <c r="C8" s="5" t="s">
        <v>34</v>
      </c>
      <c r="D8" s="9" t="s">
        <v>39</v>
      </c>
      <c r="E8" s="9" t="s">
        <v>40</v>
      </c>
      <c r="F8" s="11"/>
      <c r="G8" s="4" t="s">
        <v>13</v>
      </c>
      <c r="H8" s="4" t="s">
        <v>14</v>
      </c>
    </row>
    <row r="9" ht="15.75" customHeight="1">
      <c r="A9" s="12" t="s">
        <v>41</v>
      </c>
      <c r="B9" s="4" t="s">
        <v>42</v>
      </c>
      <c r="C9" s="5" t="s">
        <v>34</v>
      </c>
      <c r="D9" s="9" t="s">
        <v>43</v>
      </c>
      <c r="E9" s="9" t="s">
        <v>44</v>
      </c>
      <c r="F9" s="11"/>
      <c r="G9" s="4" t="s">
        <v>13</v>
      </c>
      <c r="H9" s="4" t="s">
        <v>14</v>
      </c>
    </row>
    <row r="10" ht="15.75" customHeight="1">
      <c r="A10" s="12" t="s">
        <v>45</v>
      </c>
      <c r="B10" s="4" t="s">
        <v>46</v>
      </c>
      <c r="C10" s="5" t="s">
        <v>34</v>
      </c>
      <c r="D10" s="9" t="s">
        <v>47</v>
      </c>
      <c r="E10" s="9" t="s">
        <v>48</v>
      </c>
      <c r="F10" s="11"/>
      <c r="G10" s="4" t="s">
        <v>13</v>
      </c>
      <c r="H10" s="4" t="s">
        <v>14</v>
      </c>
    </row>
    <row r="11" ht="15.75" customHeight="1">
      <c r="A11" s="10" t="s">
        <v>49</v>
      </c>
      <c r="B11" s="9" t="s">
        <v>50</v>
      </c>
      <c r="C11" s="5" t="s">
        <v>21</v>
      </c>
      <c r="D11" s="9" t="s">
        <v>51</v>
      </c>
      <c r="E11" s="9" t="s">
        <v>52</v>
      </c>
      <c r="F11" s="13"/>
      <c r="G11" s="9" t="s">
        <v>13</v>
      </c>
      <c r="H11" s="9" t="s">
        <v>14</v>
      </c>
    </row>
    <row r="12" ht="15.75" customHeight="1">
      <c r="A12" s="12" t="s">
        <v>53</v>
      </c>
      <c r="B12" s="9" t="s">
        <v>54</v>
      </c>
      <c r="C12" s="5" t="s">
        <v>21</v>
      </c>
      <c r="D12" s="9" t="s">
        <v>55</v>
      </c>
      <c r="E12" s="9" t="s">
        <v>56</v>
      </c>
      <c r="F12" s="13"/>
      <c r="G12" s="9" t="s">
        <v>13</v>
      </c>
      <c r="H12" s="9" t="s">
        <v>14</v>
      </c>
    </row>
    <row r="13" ht="15.75" customHeight="1"/>
    <row r="14" ht="15.75" customHeight="1"/>
    <row r="15" ht="15.75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>
      <c r="A16" s="14" t="s">
        <v>57</v>
      </c>
      <c r="B16" s="4" t="s">
        <v>58</v>
      </c>
      <c r="C16" s="5" t="s">
        <v>21</v>
      </c>
      <c r="D16" s="4" t="s">
        <v>59</v>
      </c>
      <c r="E16" s="4" t="s">
        <v>60</v>
      </c>
      <c r="F16" s="6"/>
      <c r="G16" s="4" t="s">
        <v>61</v>
      </c>
      <c r="H16" s="6" t="s">
        <v>14</v>
      </c>
    </row>
    <row r="17">
      <c r="A17" s="14" t="s">
        <v>62</v>
      </c>
      <c r="B17" s="4" t="s">
        <v>63</v>
      </c>
      <c r="C17" s="5" t="s">
        <v>21</v>
      </c>
      <c r="D17" s="8" t="s">
        <v>64</v>
      </c>
      <c r="E17" s="4" t="s">
        <v>65</v>
      </c>
      <c r="F17" s="6"/>
      <c r="G17" s="4" t="s">
        <v>61</v>
      </c>
      <c r="H17" s="6" t="s">
        <v>14</v>
      </c>
    </row>
    <row r="18">
      <c r="A18" s="15" t="s">
        <v>66</v>
      </c>
      <c r="B18" s="4" t="s">
        <v>67</v>
      </c>
      <c r="C18" s="5" t="s">
        <v>21</v>
      </c>
      <c r="D18" s="4" t="s">
        <v>68</v>
      </c>
      <c r="E18" s="4" t="s">
        <v>69</v>
      </c>
      <c r="F18" s="6"/>
      <c r="G18" s="4" t="s">
        <v>61</v>
      </c>
      <c r="H18" s="6" t="s">
        <v>14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4" width="18.88"/>
    <col customWidth="1" min="5" max="5" width="20.5"/>
    <col customWidth="1" min="6" max="6" width="56.13"/>
    <col customWidth="1" min="7" max="27" width="12.5"/>
  </cols>
  <sheetData>
    <row r="1" ht="15.75" customHeight="1"/>
    <row r="2" ht="15.75" customHeight="1">
      <c r="B2" s="16" t="s">
        <v>70</v>
      </c>
    </row>
    <row r="3" ht="15.75" customHeight="1">
      <c r="B3" s="17" t="s">
        <v>0</v>
      </c>
      <c r="C3" s="17" t="s">
        <v>1</v>
      </c>
      <c r="D3" s="17" t="s">
        <v>2</v>
      </c>
      <c r="E3" s="17" t="s">
        <v>71</v>
      </c>
      <c r="F3" s="17" t="s">
        <v>72</v>
      </c>
      <c r="G3" s="17" t="s">
        <v>73</v>
      </c>
      <c r="H3" s="17" t="s">
        <v>5</v>
      </c>
      <c r="I3" s="17" t="s">
        <v>74</v>
      </c>
      <c r="J3" s="17" t="s">
        <v>75</v>
      </c>
    </row>
    <row r="4">
      <c r="A4" s="7"/>
      <c r="B4" s="18" t="s">
        <v>76</v>
      </c>
      <c r="C4" s="4" t="s">
        <v>9</v>
      </c>
      <c r="D4" s="5" t="s">
        <v>10</v>
      </c>
      <c r="E4" s="4" t="s">
        <v>11</v>
      </c>
      <c r="F4" s="4" t="s">
        <v>12</v>
      </c>
      <c r="G4" s="6"/>
      <c r="H4" s="4" t="s">
        <v>13</v>
      </c>
      <c r="I4" s="6" t="s">
        <v>14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.75" customHeight="1">
      <c r="A5" s="7"/>
      <c r="B5" s="19" t="s">
        <v>77</v>
      </c>
      <c r="C5" s="19" t="s">
        <v>78</v>
      </c>
      <c r="G5" s="7"/>
      <c r="H5" s="7"/>
      <c r="I5" s="7"/>
      <c r="J5" s="20">
        <v>1.0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.75" customHeight="1">
      <c r="A6" s="7"/>
      <c r="B6" s="19" t="s">
        <v>79</v>
      </c>
      <c r="C6" s="19" t="s">
        <v>80</v>
      </c>
      <c r="G6" s="7"/>
      <c r="H6" s="7"/>
      <c r="I6" s="7"/>
      <c r="J6" s="21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.75" customHeight="1">
      <c r="A7" s="7"/>
      <c r="B7" s="19" t="s">
        <v>81</v>
      </c>
      <c r="C7" s="22" t="s">
        <v>82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.75" customHeight="1">
      <c r="B8" s="19" t="s">
        <v>83</v>
      </c>
      <c r="C8" s="22" t="s">
        <v>84</v>
      </c>
      <c r="D8" s="17"/>
      <c r="E8" s="17"/>
      <c r="F8" s="17"/>
      <c r="G8" s="17"/>
      <c r="H8" s="17"/>
      <c r="I8" s="17"/>
      <c r="J8" s="17"/>
    </row>
    <row r="9" ht="15.75" customHeight="1">
      <c r="B9" s="19" t="s">
        <v>85</v>
      </c>
      <c r="C9" s="22" t="s">
        <v>86</v>
      </c>
    </row>
    <row r="10" ht="15.75" customHeight="1">
      <c r="B10" s="19" t="s">
        <v>87</v>
      </c>
      <c r="C10" s="22" t="s">
        <v>88</v>
      </c>
      <c r="D10" s="23"/>
      <c r="E10" s="23"/>
      <c r="F10" s="23"/>
      <c r="G10" s="24"/>
      <c r="H10" s="24"/>
      <c r="I10" s="23"/>
      <c r="J10" s="25"/>
    </row>
    <row r="11" ht="15.75" customHeight="1">
      <c r="B11" s="19" t="s">
        <v>89</v>
      </c>
      <c r="C11" s="22" t="s">
        <v>90</v>
      </c>
    </row>
    <row r="12" ht="15.75" customHeight="1">
      <c r="B12" s="19" t="s">
        <v>91</v>
      </c>
      <c r="C12" s="22" t="s">
        <v>92</v>
      </c>
    </row>
    <row r="13" ht="15.75" customHeight="1">
      <c r="B13" s="19" t="s">
        <v>93</v>
      </c>
      <c r="C13" s="22" t="s">
        <v>94</v>
      </c>
    </row>
    <row r="14">
      <c r="B14" s="18" t="s">
        <v>95</v>
      </c>
      <c r="C14" s="4" t="s">
        <v>16</v>
      </c>
      <c r="D14" s="5" t="s">
        <v>10</v>
      </c>
      <c r="E14" s="8" t="s">
        <v>17</v>
      </c>
      <c r="F14" s="9" t="s">
        <v>18</v>
      </c>
      <c r="G14" s="6"/>
      <c r="H14" s="4" t="s">
        <v>13</v>
      </c>
      <c r="I14" s="6" t="s">
        <v>14</v>
      </c>
    </row>
    <row r="15" ht="15.75" customHeight="1">
      <c r="B15" s="19" t="s">
        <v>96</v>
      </c>
      <c r="C15" s="22" t="s">
        <v>97</v>
      </c>
      <c r="J15" s="22">
        <v>2.0</v>
      </c>
    </row>
    <row r="16" ht="15.75" customHeight="1">
      <c r="B16" s="19" t="s">
        <v>98</v>
      </c>
      <c r="C16" s="22" t="s">
        <v>99</v>
      </c>
    </row>
    <row r="17" ht="15.75" customHeight="1">
      <c r="B17" s="19" t="s">
        <v>100</v>
      </c>
      <c r="C17" s="22" t="s">
        <v>101</v>
      </c>
    </row>
    <row r="18" ht="15.75" customHeight="1">
      <c r="B18" s="19" t="s">
        <v>102</v>
      </c>
      <c r="C18" s="22" t="s">
        <v>103</v>
      </c>
    </row>
    <row r="19" ht="15.75" customHeight="1">
      <c r="B19" s="19" t="s">
        <v>104</v>
      </c>
      <c r="C19" s="22" t="s">
        <v>105</v>
      </c>
    </row>
    <row r="20" ht="15.75" customHeight="1">
      <c r="B20" s="19" t="s">
        <v>106</v>
      </c>
      <c r="C20" s="22" t="s">
        <v>107</v>
      </c>
    </row>
    <row r="21" ht="15.75" customHeight="1">
      <c r="B21" s="19" t="s">
        <v>108</v>
      </c>
      <c r="C21" s="22" t="s">
        <v>109</v>
      </c>
    </row>
    <row r="22" ht="15.75" customHeight="1">
      <c r="B22" s="19" t="s">
        <v>110</v>
      </c>
      <c r="C22" s="22" t="s">
        <v>111</v>
      </c>
    </row>
    <row r="23">
      <c r="B23" s="18" t="s">
        <v>112</v>
      </c>
      <c r="C23" s="4" t="s">
        <v>20</v>
      </c>
      <c r="D23" s="5" t="s">
        <v>21</v>
      </c>
      <c r="E23" s="4" t="s">
        <v>22</v>
      </c>
      <c r="F23" s="9" t="s">
        <v>23</v>
      </c>
      <c r="G23" s="6"/>
      <c r="H23" s="4" t="s">
        <v>13</v>
      </c>
      <c r="I23" s="6" t="s">
        <v>14</v>
      </c>
    </row>
    <row r="24" ht="15.75" customHeight="1">
      <c r="B24" s="22" t="s">
        <v>113</v>
      </c>
      <c r="C24" s="22" t="s">
        <v>114</v>
      </c>
      <c r="J24" s="22">
        <v>6.0</v>
      </c>
    </row>
    <row r="25" ht="15.75" customHeight="1">
      <c r="B25" s="22" t="s">
        <v>115</v>
      </c>
      <c r="C25" s="22" t="s">
        <v>116</v>
      </c>
    </row>
    <row r="26" ht="15.75" customHeight="1">
      <c r="B26" s="22" t="s">
        <v>117</v>
      </c>
      <c r="C26" s="22" t="s">
        <v>118</v>
      </c>
    </row>
    <row r="27" ht="15.75" customHeight="1">
      <c r="B27" s="22" t="s">
        <v>119</v>
      </c>
      <c r="C27" s="22" t="s">
        <v>120</v>
      </c>
    </row>
    <row r="28" ht="15.75" customHeight="1">
      <c r="B28" s="22" t="s">
        <v>121</v>
      </c>
      <c r="C28" s="22" t="s">
        <v>122</v>
      </c>
    </row>
    <row r="29" ht="15.75" customHeight="1">
      <c r="B29" s="22" t="s">
        <v>123</v>
      </c>
      <c r="C29" s="22" t="s">
        <v>124</v>
      </c>
    </row>
    <row r="30" ht="15.75" customHeight="1"/>
    <row r="31">
      <c r="B31" s="18" t="s">
        <v>125</v>
      </c>
      <c r="C31" s="4" t="s">
        <v>33</v>
      </c>
      <c r="D31" s="5" t="s">
        <v>34</v>
      </c>
      <c r="E31" s="9" t="s">
        <v>35</v>
      </c>
      <c r="F31" s="9" t="s">
        <v>36</v>
      </c>
      <c r="G31" s="11"/>
      <c r="H31" s="4" t="s">
        <v>13</v>
      </c>
      <c r="I31" s="4" t="s">
        <v>14</v>
      </c>
    </row>
    <row r="32" ht="15.75" customHeight="1">
      <c r="B32" s="26" t="s">
        <v>126</v>
      </c>
      <c r="C32" s="22" t="s">
        <v>127</v>
      </c>
    </row>
    <row r="33" ht="15.75" customHeight="1">
      <c r="B33" s="26" t="s">
        <v>128</v>
      </c>
      <c r="C33" s="22" t="s">
        <v>129</v>
      </c>
    </row>
    <row r="34" ht="15.75" customHeight="1">
      <c r="B34" s="26" t="s">
        <v>130</v>
      </c>
      <c r="C34" s="22" t="s">
        <v>131</v>
      </c>
    </row>
    <row r="35" ht="15.75" customHeight="1">
      <c r="B35" s="26" t="s">
        <v>132</v>
      </c>
      <c r="C35" s="22" t="s">
        <v>133</v>
      </c>
    </row>
    <row r="36" ht="15.75" customHeight="1"/>
    <row r="37" ht="15.75" customHeight="1"/>
    <row r="38" ht="15.75" customHeight="1"/>
    <row r="39" ht="15.75" customHeight="1">
      <c r="B39" s="27" t="s">
        <v>134</v>
      </c>
    </row>
    <row r="40">
      <c r="B40" s="18" t="s">
        <v>28</v>
      </c>
      <c r="C40" s="4" t="s">
        <v>29</v>
      </c>
      <c r="D40" s="5" t="s">
        <v>21</v>
      </c>
      <c r="E40" s="9" t="s">
        <v>30</v>
      </c>
      <c r="F40" s="9" t="s">
        <v>31</v>
      </c>
      <c r="G40" s="6"/>
      <c r="H40" s="4" t="s">
        <v>13</v>
      </c>
      <c r="I40" s="4" t="s">
        <v>14</v>
      </c>
    </row>
    <row r="41" ht="15.75" customHeight="1">
      <c r="B41" s="28" t="s">
        <v>135</v>
      </c>
      <c r="C41" s="22" t="s">
        <v>136</v>
      </c>
    </row>
    <row r="42" ht="15.75" customHeight="1">
      <c r="B42" s="29" t="s">
        <v>137</v>
      </c>
      <c r="C42" s="22" t="s">
        <v>138</v>
      </c>
    </row>
    <row r="43" ht="15.75" customHeight="1">
      <c r="B43" s="29" t="s">
        <v>139</v>
      </c>
      <c r="C43" s="22" t="s">
        <v>140</v>
      </c>
    </row>
    <row r="44" ht="15.75" customHeight="1"/>
    <row r="45" ht="15.75" customHeight="1"/>
    <row r="46" ht="15.75" customHeight="1"/>
    <row r="47">
      <c r="B47" s="30" t="s">
        <v>24</v>
      </c>
      <c r="C47" s="4" t="s">
        <v>25</v>
      </c>
      <c r="D47" s="5" t="s">
        <v>21</v>
      </c>
      <c r="E47" s="9" t="s">
        <v>26</v>
      </c>
      <c r="F47" s="9" t="s">
        <v>27</v>
      </c>
      <c r="G47" s="6"/>
      <c r="H47" s="4" t="s">
        <v>13</v>
      </c>
      <c r="I47" s="6" t="s">
        <v>14</v>
      </c>
    </row>
    <row r="48" ht="15.75" customHeight="1">
      <c r="B48" s="29" t="s">
        <v>141</v>
      </c>
    </row>
    <row r="49" ht="15.75" customHeight="1">
      <c r="B49" s="29" t="s">
        <v>142</v>
      </c>
    </row>
    <row r="50" ht="15.75" customHeight="1">
      <c r="B50" s="29" t="s">
        <v>143</v>
      </c>
    </row>
    <row r="51" ht="15.75" customHeight="1"/>
    <row r="52" ht="15.75" customHeight="1"/>
    <row r="53" ht="15.75" customHeight="1"/>
    <row r="54" ht="15.75" customHeight="1"/>
    <row r="55" ht="15.75" customHeight="1">
      <c r="B55" s="30" t="s">
        <v>37</v>
      </c>
      <c r="C55" s="4" t="s">
        <v>38</v>
      </c>
      <c r="D55" s="5" t="s">
        <v>34</v>
      </c>
      <c r="E55" s="9" t="s">
        <v>39</v>
      </c>
      <c r="F55" s="9" t="s">
        <v>40</v>
      </c>
      <c r="G55" s="11"/>
      <c r="H55" s="4" t="s">
        <v>13</v>
      </c>
      <c r="I55" s="4" t="s">
        <v>14</v>
      </c>
    </row>
    <row r="56" ht="15.75" customHeight="1">
      <c r="B56" s="28" t="s">
        <v>144</v>
      </c>
    </row>
    <row r="57" ht="15.75" customHeight="1">
      <c r="B57" s="28" t="s">
        <v>145</v>
      </c>
    </row>
    <row r="58" ht="15.75" customHeight="1">
      <c r="B58" s="28" t="s">
        <v>146</v>
      </c>
    </row>
    <row r="59" ht="15.75" customHeight="1"/>
    <row r="60" ht="15.75" customHeight="1"/>
    <row r="61" ht="15.75" customHeight="1"/>
    <row r="62" ht="15.75" customHeight="1"/>
    <row r="63" ht="15.75" customHeight="1"/>
    <row r="64" ht="14.25" customHeight="1">
      <c r="B64" s="30" t="s">
        <v>49</v>
      </c>
      <c r="C64" s="9" t="s">
        <v>50</v>
      </c>
      <c r="D64" s="5" t="s">
        <v>21</v>
      </c>
      <c r="E64" s="9" t="s">
        <v>51</v>
      </c>
      <c r="F64" s="9" t="s">
        <v>52</v>
      </c>
      <c r="G64" s="13"/>
      <c r="H64" s="9" t="s">
        <v>13</v>
      </c>
      <c r="I64" s="9" t="s">
        <v>14</v>
      </c>
    </row>
    <row r="65" ht="15.75" customHeight="1">
      <c r="B65" s="28" t="s">
        <v>147</v>
      </c>
    </row>
    <row r="66" ht="15.75" customHeight="1">
      <c r="B66" s="28" t="s">
        <v>148</v>
      </c>
    </row>
    <row r="67" ht="15.75" customHeight="1">
      <c r="B67" s="28" t="s">
        <v>149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B74" s="31" t="s">
        <v>150</v>
      </c>
    </row>
    <row r="75" ht="15.75" customHeight="1">
      <c r="B75" s="30" t="s">
        <v>41</v>
      </c>
      <c r="C75" s="4" t="s">
        <v>42</v>
      </c>
      <c r="D75" s="5" t="s">
        <v>34</v>
      </c>
      <c r="E75" s="9" t="s">
        <v>43</v>
      </c>
      <c r="F75" s="9" t="s">
        <v>44</v>
      </c>
      <c r="G75" s="11"/>
      <c r="H75" s="4" t="s">
        <v>13</v>
      </c>
      <c r="I75" s="4" t="s">
        <v>14</v>
      </c>
    </row>
    <row r="76" ht="15.75" customHeight="1">
      <c r="B76" s="28" t="s">
        <v>151</v>
      </c>
    </row>
    <row r="77" ht="15.75" customHeight="1">
      <c r="B77" s="28" t="s">
        <v>152</v>
      </c>
    </row>
    <row r="78" ht="15.75" customHeight="1">
      <c r="B78" s="28" t="s">
        <v>153</v>
      </c>
    </row>
    <row r="79" ht="15.75" customHeight="1"/>
    <row r="80" ht="15.75" customHeight="1"/>
    <row r="81" ht="15.75" customHeight="1">
      <c r="B81" s="30" t="s">
        <v>45</v>
      </c>
      <c r="C81" s="4" t="s">
        <v>46</v>
      </c>
      <c r="D81" s="5" t="s">
        <v>34</v>
      </c>
      <c r="E81" s="9" t="s">
        <v>47</v>
      </c>
      <c r="F81" s="9" t="s">
        <v>48</v>
      </c>
      <c r="G81" s="11"/>
      <c r="H81" s="4" t="s">
        <v>13</v>
      </c>
      <c r="I81" s="4" t="s">
        <v>14</v>
      </c>
    </row>
    <row r="82" ht="15.75" customHeight="1">
      <c r="B82" s="28" t="s">
        <v>154</v>
      </c>
    </row>
    <row r="83" ht="15.75" customHeight="1">
      <c r="B83" s="28" t="s">
        <v>155</v>
      </c>
    </row>
    <row r="84" ht="15.75" customHeight="1">
      <c r="B84" s="28" t="s">
        <v>156</v>
      </c>
    </row>
    <row r="85" ht="15.75" customHeight="1"/>
    <row r="86" ht="15.75" customHeight="1"/>
    <row r="87" ht="15.75" customHeight="1">
      <c r="B87" s="30" t="s">
        <v>53</v>
      </c>
      <c r="C87" s="9" t="s">
        <v>54</v>
      </c>
      <c r="D87" s="5" t="s">
        <v>21</v>
      </c>
      <c r="E87" s="9" t="s">
        <v>55</v>
      </c>
      <c r="F87" s="9" t="s">
        <v>56</v>
      </c>
      <c r="G87" s="13"/>
      <c r="H87" s="9" t="s">
        <v>13</v>
      </c>
      <c r="I87" s="9" t="s">
        <v>14</v>
      </c>
    </row>
    <row r="88" ht="15.75" customHeight="1">
      <c r="B88" s="28" t="s">
        <v>157</v>
      </c>
    </row>
    <row r="89" ht="15.75" customHeight="1">
      <c r="B89" s="28" t="s">
        <v>158</v>
      </c>
    </row>
    <row r="90" ht="15.75" customHeight="1">
      <c r="B90" s="28" t="s">
        <v>159</v>
      </c>
    </row>
    <row r="91" ht="15.75" customHeight="1"/>
    <row r="92" ht="15.75" customHeight="1"/>
    <row r="93" ht="15.75" customHeight="1"/>
    <row r="94" ht="15.75" customHeight="1"/>
    <row r="95" ht="15.75" customHeight="1">
      <c r="B95" s="32" t="s">
        <v>160</v>
      </c>
    </row>
    <row r="96">
      <c r="B96" s="18" t="s">
        <v>161</v>
      </c>
      <c r="C96" s="4" t="s">
        <v>58</v>
      </c>
      <c r="D96" s="5" t="s">
        <v>21</v>
      </c>
      <c r="E96" s="4" t="s">
        <v>59</v>
      </c>
      <c r="F96" s="4" t="s">
        <v>60</v>
      </c>
      <c r="G96" s="6"/>
      <c r="H96" s="4" t="s">
        <v>61</v>
      </c>
      <c r="I96" s="6" t="s">
        <v>14</v>
      </c>
    </row>
    <row r="97" ht="15.75" customHeight="1">
      <c r="B97" s="22" t="s">
        <v>162</v>
      </c>
      <c r="C97" s="22" t="s">
        <v>163</v>
      </c>
    </row>
    <row r="98" ht="15.75" customHeight="1">
      <c r="B98" s="22" t="s">
        <v>164</v>
      </c>
      <c r="C98" s="22" t="s">
        <v>165</v>
      </c>
    </row>
    <row r="99" ht="15.75" customHeight="1">
      <c r="B99" s="22" t="s">
        <v>166</v>
      </c>
      <c r="C99" s="22" t="s">
        <v>167</v>
      </c>
    </row>
    <row r="100" ht="15.75" customHeight="1">
      <c r="B100" s="22" t="s">
        <v>168</v>
      </c>
      <c r="C100" s="22" t="s">
        <v>169</v>
      </c>
    </row>
    <row r="101" ht="15.75" customHeight="1">
      <c r="B101" s="22" t="s">
        <v>170</v>
      </c>
      <c r="C101" s="22" t="s">
        <v>171</v>
      </c>
    </row>
    <row r="102" ht="15.75" customHeight="1"/>
    <row r="103" ht="15.75" customHeight="1"/>
    <row r="104" ht="15.75" customHeight="1"/>
    <row r="105">
      <c r="B105" s="30" t="s">
        <v>62</v>
      </c>
      <c r="C105" s="4" t="s">
        <v>63</v>
      </c>
      <c r="D105" s="5" t="s">
        <v>21</v>
      </c>
      <c r="E105" s="8" t="s">
        <v>64</v>
      </c>
      <c r="F105" s="4" t="s">
        <v>65</v>
      </c>
      <c r="G105" s="6"/>
      <c r="H105" s="4" t="s">
        <v>61</v>
      </c>
      <c r="I105" s="6" t="s">
        <v>14</v>
      </c>
    </row>
    <row r="106" ht="15.75" customHeight="1">
      <c r="B106" s="28" t="s">
        <v>172</v>
      </c>
    </row>
    <row r="107" ht="15.75" customHeight="1">
      <c r="B107" s="28" t="s">
        <v>173</v>
      </c>
    </row>
    <row r="108" ht="15.75" customHeight="1">
      <c r="B108" s="28" t="s">
        <v>174</v>
      </c>
    </row>
    <row r="109" ht="15.75" customHeight="1"/>
    <row r="110" ht="15.75" customHeight="1"/>
    <row r="111" ht="15.75" customHeight="1"/>
    <row r="112">
      <c r="B112" s="30" t="s">
        <v>66</v>
      </c>
      <c r="C112" s="4" t="s">
        <v>67</v>
      </c>
      <c r="D112" s="5" t="s">
        <v>21</v>
      </c>
      <c r="E112" s="4" t="s">
        <v>68</v>
      </c>
      <c r="F112" s="4" t="s">
        <v>69</v>
      </c>
      <c r="G112" s="6"/>
      <c r="H112" s="4" t="s">
        <v>61</v>
      </c>
      <c r="I112" s="6" t="s">
        <v>14</v>
      </c>
    </row>
    <row r="113" ht="15.75" customHeight="1">
      <c r="B113" s="28" t="s">
        <v>175</v>
      </c>
    </row>
    <row r="114" ht="15.75" customHeight="1">
      <c r="B114" s="28" t="s">
        <v>176</v>
      </c>
    </row>
    <row r="115" ht="15.75" customHeight="1">
      <c r="B115" s="28" t="s">
        <v>177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5:F5"/>
    <mergeCell ref="C6:F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9" width="12.5"/>
  </cols>
  <sheetData>
    <row r="1" ht="15.75" customHeight="1"/>
    <row r="2" ht="15.75" customHeight="1"/>
    <row r="3" ht="15.75" customHeight="1">
      <c r="B3" s="24"/>
      <c r="C3" s="24" t="s">
        <v>178</v>
      </c>
      <c r="D3" s="24" t="s">
        <v>179</v>
      </c>
      <c r="E3" s="24" t="s">
        <v>180</v>
      </c>
      <c r="F3" s="24" t="s">
        <v>181</v>
      </c>
      <c r="G3" s="24" t="s">
        <v>182</v>
      </c>
      <c r="H3" s="24" t="s">
        <v>183</v>
      </c>
      <c r="I3" s="24" t="s">
        <v>184</v>
      </c>
    </row>
    <row r="4" ht="15.75" customHeight="1">
      <c r="B4" s="33" t="s">
        <v>185</v>
      </c>
      <c r="C4" s="34">
        <v>4.0</v>
      </c>
      <c r="D4" s="25">
        <v>0.0</v>
      </c>
      <c r="E4" s="25">
        <v>1.0</v>
      </c>
      <c r="F4" s="25">
        <v>1.0</v>
      </c>
      <c r="G4" s="25">
        <v>0.0</v>
      </c>
      <c r="H4" s="25">
        <v>1.0</v>
      </c>
      <c r="I4" s="35">
        <f t="shared" ref="I4:I5" si="1">SUM(D4:H4)</f>
        <v>3</v>
      </c>
    </row>
    <row r="5" ht="15.75" customHeight="1">
      <c r="B5" s="33" t="s">
        <v>186</v>
      </c>
      <c r="C5" s="34">
        <v>5.0</v>
      </c>
      <c r="D5" s="25">
        <v>0.0</v>
      </c>
      <c r="E5" s="25">
        <v>1.0</v>
      </c>
      <c r="F5" s="25">
        <v>2.0</v>
      </c>
      <c r="G5" s="25">
        <v>1.0</v>
      </c>
      <c r="H5" s="25">
        <v>1.0</v>
      </c>
      <c r="I5" s="35">
        <f t="shared" si="1"/>
        <v>5</v>
      </c>
    </row>
    <row r="6" ht="15.75" customHeight="1"/>
    <row r="7" ht="15.75" customHeight="1"/>
    <row r="8" ht="15.75" customHeight="1"/>
    <row r="9" ht="15.75" customHeight="1"/>
    <row r="10" ht="15.75" customHeight="1">
      <c r="B10" s="36" t="s">
        <v>187</v>
      </c>
      <c r="C10" s="24">
        <f>SUM(C4:C5)</f>
        <v>9</v>
      </c>
      <c r="D10" s="24">
        <f t="shared" ref="D10:H10" si="2">C10-SUM(D4:D5)</f>
        <v>9</v>
      </c>
      <c r="E10" s="24">
        <f t="shared" si="2"/>
        <v>7</v>
      </c>
      <c r="F10" s="24">
        <f t="shared" si="2"/>
        <v>4</v>
      </c>
      <c r="G10" s="24">
        <f t="shared" si="2"/>
        <v>3</v>
      </c>
      <c r="H10" s="24">
        <f t="shared" si="2"/>
        <v>1</v>
      </c>
    </row>
    <row r="11" ht="15.75" customHeight="1">
      <c r="B11" s="36" t="s">
        <v>188</v>
      </c>
      <c r="C11" s="24">
        <f>SUM(C4:C5)</f>
        <v>9</v>
      </c>
      <c r="D11" s="24">
        <f>C11-(SUM(C4:C5)/5)</f>
        <v>7.2</v>
      </c>
      <c r="E11" s="24">
        <f>D11-(SUM(C4:C5)/5)</f>
        <v>5.4</v>
      </c>
      <c r="F11" s="24">
        <f>E11-(SUM(C4:C5)/5)</f>
        <v>3.6</v>
      </c>
      <c r="G11" s="24">
        <f>F11-(SUM(C4:C5)/5)</f>
        <v>1.8</v>
      </c>
      <c r="H11" s="24">
        <f>G11-(SUM(C4:C5)/5)</f>
        <v>0</v>
      </c>
    </row>
    <row r="12" ht="15.75" customHeight="1"/>
    <row r="13" ht="15.75" customHeight="1"/>
    <row r="14" ht="15.75" customHeight="1"/>
    <row r="15" ht="15.75" customHeight="1">
      <c r="B15" s="37" t="s">
        <v>189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G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