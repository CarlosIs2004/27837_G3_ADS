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extLst>
    <ext uri="GoogleSheetsCustomDataVersion2">
      <go:sheetsCustomData xmlns:go="http://customooxmlschemas.google.com/" r:id="rId6" roundtripDataChecksum="EXIV27jlHpBGaZat5FZSGIVpxL58NcSCBi7RjHuqPZU="/>
    </ext>
  </extLst>
</workbook>
</file>

<file path=xl/sharedStrings.xml><?xml version="1.0" encoding="utf-8"?>
<sst xmlns="http://schemas.openxmlformats.org/spreadsheetml/2006/main" count="346" uniqueCount="244">
  <si>
    <t>Matriz de Marco de Trabajo de HU</t>
  </si>
  <si>
    <t>ITEM</t>
  </si>
  <si>
    <t>PROBLEMA</t>
  </si>
  <si>
    <t>QUE 
(NECESIDAD)</t>
  </si>
  <si>
    <t>PARA QUE 
(SOLUCIÓN)</t>
  </si>
  <si>
    <t>PARA QUIEN (USUARIO)</t>
  </si>
  <si>
    <t>COMO
 (DESCRIPCIÓN DE TAREAS)</t>
  </si>
  <si>
    <t xml:space="preserve">HECHO POR  (PROG. RESP. - Quién) </t>
  </si>
  <si>
    <t>CUANTO TIEMPO (ESTIMADO EN HRS)</t>
  </si>
  <si>
    <t xml:space="preserve">FECHA DE ENTREGA
Cuando
</t>
  </si>
  <si>
    <t>PRIORIDAD</t>
  </si>
  <si>
    <t>STATUS</t>
  </si>
  <si>
    <t>PRUEBA 
(COMO SE VERIFICA)</t>
  </si>
  <si>
    <t>COMENTARIOS</t>
  </si>
  <si>
    <t xml:space="preserve">NOMBRE DE HISTORIA </t>
  </si>
  <si>
    <t>RF1</t>
  </si>
  <si>
    <t>Los usuarios necesitan registrarse de forma segura para usar la aplicación</t>
  </si>
  <si>
    <t>Permitir que el usuario se registre y acceda a las funcionalidades</t>
  </si>
  <si>
    <t>Para que el usuario conste en el registro del sistema y pueda acceder a la información o funcionalidades del sistema.</t>
  </si>
  <si>
    <t>Padre/Docente</t>
  </si>
  <si>
    <t>1. El actor accede a la aplicación
2. El actor accede a registrarse en la aplicación
3. El actor ingresa los campos requeridos para el registro, los cuales son: nombre, correo electrónico, contraseña, fecha de nacimiento y rol.
4. El sistema valida los campos ingresados por el actor.
5. El sistema guarda los datos  de los campos ingresados por el actor en la base de datos.</t>
  </si>
  <si>
    <t>Juan Granda</t>
  </si>
  <si>
    <t>Obligatorio</t>
  </si>
  <si>
    <t>No iniciado</t>
  </si>
  <si>
    <t>-El actor ingresa los campos requeridos para el registro, los cuales son: nombre, correo electrónico, contraseña, fecha de nacimiento y rol.
-El sistema valida los campos ingresados por el actor.
-El sistema guarda los datos  de los campos ingresados por el actor en la base de datos.</t>
  </si>
  <si>
    <t>Requisito base para todo el sistema. Sin registro no se habilitan perfiles ni seguimiento. Debe cumplir estándares de seguridad y validación sólida.</t>
  </si>
  <si>
    <t>Registrar usuario</t>
  </si>
  <si>
    <t>RF2</t>
  </si>
  <si>
    <t>Los usuarios necesitan acceder a la aplicación de forma segura para poder utilizar las funcionalidades disponibles</t>
  </si>
  <si>
    <t>Permitir que el usuario se autentique en el sistema y pueda enlazar su clase dentro de la aplicación.</t>
  </si>
  <si>
    <t>Para el Usuario registrado, el sistema implementará un formulario de inicio de sesión que valide las credenciales (correo y contraseña).</t>
  </si>
  <si>
    <t>Padre / Docente</t>
  </si>
  <si>
    <t>1. Mostrar pantalla de inicio de sesión.
2. Solicitar correo y contraseña.
3. Validar credenciales contra la base de datos.
4. En caso de éxito, solicitar permiso de cámara.
5. Redirigir a la sección “Enlazar clase”.</t>
  </si>
  <si>
    <t>David Cepeda</t>
  </si>
  <si>
    <t>- El usuario ingresa credenciales válidas y accede correctamente a la aplicación.
- El sistema rechaza credenciales inválidas mostrando mensaje de error.
- Se solicita permiso de cámara.
- Se redirige correctamente a la sección “Enlazar clase”.</t>
  </si>
  <si>
    <t>Dependiendo del usuaroi que accesa a la aplicación le aparece una interface diferente.</t>
  </si>
  <si>
    <t>Iniciar sesión</t>
  </si>
  <si>
    <t>RF3</t>
  </si>
  <si>
    <t>El actor necesita acceder al módulo de categorización de aprendizaje por edad.</t>
  </si>
  <si>
    <t>Organizar la información segun las lecciones disponibles</t>
  </si>
  <si>
    <t xml:space="preserve">Para organizar el contenido educativo en categorías etarias y mostrar los niveles disponibles </t>
  </si>
  <si>
    <t>Padre</t>
  </si>
  <si>
    <t xml:space="preserve">1. El actor ingresa a su pantalla asignada segun el grupo etario perteneciente. 
2. El sistema obtiene el contenido y carga los niveles desbloqueados. 
3. El actor elige un nivel y el sistema muestra las lecciones.     
4. El actor realiza la lección asignada.     </t>
  </si>
  <si>
    <t>Carlos Ñato</t>
  </si>
  <si>
    <t>En proceso</t>
  </si>
  <si>
    <t>El sistema muestra el contenido multimedia educativo específico asociado a la combinación de categoría etaria y nivel.</t>
  </si>
  <si>
    <t xml:space="preserve">Esta lógica segmenta contenido por etapas cognitivas </t>
  </si>
  <si>
    <t>Categorizar aprendizaje de señas por edad del niño</t>
  </si>
  <si>
    <t>RF3.1</t>
  </si>
  <si>
    <t>Mostrar contenidos del nivel Principiante según la categoría</t>
  </si>
  <si>
    <t>Obtener y mostrar contenidos (videos, imágenes) del nivel Principiante</t>
  </si>
  <si>
    <t>Para que el actor pueda revisar el contenido y aplicar filtros por palabras clave</t>
  </si>
  <si>
    <t>1. Sistema obtiene contenido.                                          2. Sistema presenta lista.                                                             3. Actor selecciona contenido.                                                    4. Actor puede aplicar filtro.                                                           5. Sistema muestra contenido filtrado o completo.</t>
  </si>
  <si>
    <t>Al entrar, se muestra contenido etiquetado como nivel principiante.</t>
  </si>
  <si>
    <t>En este nivel se muestra el contenido básico e introducción a el lenguaje de señas</t>
  </si>
  <si>
    <t>Mostrar nivel principiante</t>
  </si>
  <si>
    <t>RF3.2</t>
  </si>
  <si>
    <t>Mostrar contenidos del nivel Intermedio, incluyendo prácticas</t>
  </si>
  <si>
    <t>Mostrar prácticas interactivas del nivel Intermedio ("Seleccionar seña correcta", "Asociación visual").</t>
  </si>
  <si>
    <t>Para que el actor pueda elegir una práctica, donde se integran de videos, imagenes y otros elementos multimedia educativos.</t>
  </si>
  <si>
    <t>1. Seleccionar nivel intermedio.
2. Acceder al módulo de práctica.</t>
  </si>
  <si>
    <t>El sistema registra intentos y aciertos.</t>
  </si>
  <si>
    <t>Este nivel aumenta la dificultad e introduce ejercicios interactivos.</t>
  </si>
  <si>
    <t>Practicar señas en nivel intermedio</t>
  </si>
  <si>
    <t>RF3.2.1</t>
  </si>
  <si>
    <t>Evalución para el padre, validando si reconoce la seña correcta</t>
  </si>
  <si>
    <t>Realizar una práctica de "Seleccionar la seña correcta".</t>
  </si>
  <si>
    <t>Para que el actor seleccione la opción correcta, y el sistema valide y dé retroalimentación.</t>
  </si>
  <si>
    <t>1. Sistema muestra la seña obtenida por filtros y avanzes del padre.                                                                                 2. Actor selecciona  una seña del vocabulario disponible compuesta por un video o una imagen y una frase de referencia a una seña.
3. El actor selecciona la respuesta correcta en el ejercicio.                                                                                                                                       4. Sistema valida y registra.</t>
  </si>
  <si>
    <t>Se selecciona opción y el sistema valida correcto/incorrecto.</t>
  </si>
  <si>
    <t>Es un reto del sistema que imparte a el padre con el alzance de lograr el reconocimiento correcto de la seña por parte del sistema.</t>
  </si>
  <si>
    <t>Seleccionar seña correcta</t>
  </si>
  <si>
    <t>RF3.2.2</t>
  </si>
  <si>
    <t>Evalución para el padre, validando la practica por asociacioón visual de la seña correcta</t>
  </si>
  <si>
    <t>El usuario necesita relacionar visualmente imágenes con señas para reforzar la comprensión.</t>
  </si>
  <si>
    <t>Asociacion visual de la seña para el reconocimiento del padre.</t>
  </si>
  <si>
    <t>1.El sistema presenta al actor las señas en formato multimedia distribuidas en la pantalla.
2. El sistema muestra las etiquetas correspondientes de forma desordenada.                                                                        3. El actor visualiza las señas y las etiquetas, y realiza las asociaciones correctas (drag &amp; drop).
4. Sistema valida y registra.</t>
  </si>
  <si>
    <t>Registro de aciertos y errores en los intentos por parte del actor.</t>
  </si>
  <si>
    <t>Profundiza en la memoria visual y asociación cognitiva.</t>
  </si>
  <si>
    <t>Practicar por asociación visual</t>
  </si>
  <si>
    <t>RF3.3</t>
  </si>
  <si>
    <t>El actor necesita acceder al módulo de prácticas avanzadas según la categoría seleccionada</t>
  </si>
  <si>
    <t>El usuario necesita practicar señas avanzadas relacionadas con frases compuestas, acciones del hogar y vocabulario complejo</t>
  </si>
  <si>
    <t>Para ofrecer prácticas interactivas avanzadas (“Ejemplo visual”, “Audio e imitación”) filtradas por categoría</t>
  </si>
  <si>
    <t>1. El actor selecciona nivel Avanzado.
2. El sistema obtiene contenido avanzado según categoría.
3. El actor aplica filtros opcionales por palabras clave.
4. El sistema muestra prácticas y contenido multimedia avanzado.</t>
  </si>
  <si>
    <t>El sistema carga únicamente contenido avanzado correspondiente a la categoría seleccionada.</t>
  </si>
  <si>
    <t>Nivel con más complejidad e integración de estímulos visuales y auditivos.</t>
  </si>
  <si>
    <t>Practicar señas en nivel avanzado</t>
  </si>
  <si>
    <t>RF3.3.1</t>
  </si>
  <si>
    <t>Evaluación avanzada mediante imitación guiada con ejemplo visual</t>
  </si>
  <si>
    <t>El usuario requiere ejemplos visuales avanzados para comprender la seña y su uso contextual</t>
  </si>
  <si>
    <t>Para realizar la práctica “Imitación con ejemplo visual” con validación de imitación y significado</t>
  </si>
  <si>
    <t xml:space="preserve"> 1. El sistema obtiene la seña avanzada filtrada.                                                                     2. Muestra video/animación con ejemplo visual contextual.                                                                                            3. El actor observa e imita frente a la cámara.                                                                                            4. Selecciona el significado correcto.                                                                                                            5. El sistema valida imitación y respuesta, y registra resultados.</t>
  </si>
  <si>
    <t>Validación de imitación + selección correcta del significado.</t>
  </si>
  <si>
    <t>Mejora precisión gestual y entendimiento contextual.</t>
  </si>
  <si>
    <t>Practicar señas con ejemplo visual</t>
  </si>
  <si>
    <t>RF3.3.2</t>
  </si>
  <si>
    <t>Evaluación avanzada mediante imitación guiada por audio</t>
  </si>
  <si>
    <t>El usuario requiere practicar señas con audio para reforzar coordinación auditivo-visual</t>
  </si>
  <si>
    <t>Para realizar la práctica “Imitación con audio descriptivo”, comparando la imitación con el modelo de referencia</t>
  </si>
  <si>
    <t>1. El sistema obtiene la seña y el audio asociado.                 2. Reproduce video con audio descriptivo.               3. El actor observa y escucha la guía.                        4. El actor imita frente a la cámara. 5. El sistema valida la imitación y registra resultados.</t>
  </si>
  <si>
    <t>Validación de la imitación mediante reconocimiento.</t>
  </si>
  <si>
    <t>Refuerza coordinación audio–movimiento y vocabulario avanzado.</t>
  </si>
  <si>
    <t>Practicar con audio e imitación</t>
  </si>
  <si>
    <t>RF04</t>
  </si>
  <si>
    <t>El padre necesita unirse a una clase creada por un docente para acceder al contenido de aprendizaje.</t>
  </si>
  <si>
    <t>Permitir al padre enlazar su cuenta a una clase específica mediante un código único.</t>
  </si>
  <si>
    <t>Para que el padre pueda ser vinculado formalmente a la clase del docente y se le habilite el acceso a los contenidos y módulos de aprendizaje correspondientes.</t>
  </si>
  <si>
    <t>1. El sistema verifica que el rol del actor autenticado sea "padre".
2. El sistema solicita el ingreso del código de la clase.                                                                                          3. El actor ingresa el código proporcionado por el docente.
4. El sistema valida el formato, existencia y vigencia del código.
5. Si es válido, el sistema enlaza al actor a la clase y registra la relación.
6. El sistema muestra un mensaje de confirmación.</t>
  </si>
  <si>
    <t>- El actor "Padre" ingresa un código válido y el sistema confirma la vinculación exitosa.
- El sistema rechaza un código incorrecto, expirado o no existente, mostrando el mensaje de error correspondiente.
- Una vez enlazado, el actor tiene acceso a los contenidos de la clase. COMENTARIOS: Es el nexo clave entre el docente y el padre. El código debe ser único y generado previamente por el docente</t>
  </si>
  <si>
    <t>Enlazar clase</t>
  </si>
  <si>
    <t>RF05</t>
  </si>
  <si>
    <t>El padre necesita consultar rápidamente frases de uso diario (saludos, rutinas) sin tener que navegar por todos los niveles de aprendizaje.</t>
  </si>
  <si>
    <t>Mostrar un módulo que categorice frases comunes (ej. saludos y despedidas, presentación, cortesía, rutinas del hogar).</t>
  </si>
  <si>
    <t>Para que el actor pueda explorar el contenido como un diccionario temático visual, accediendo a videos, imágenes y texto de cada frase.</t>
  </si>
  <si>
    <t>1. El actor accede a la sección "categorización de frases comunes".
2. El sistema carga el listado de categorías disponibles.
3. El actor selecciona una categoría (ej. "saludos y despedidas").
4. El sistema recupera el conjunto de frases asociadas a esa categoría.
5. El sistema muestra cada frase con su representación en seña (video, imagen, texto).</t>
  </si>
  <si>
    <t>- El actor selecciona una categoría y el sistema muestra la lista de frases correspondientes.
- Cada frase se presenta con su video explicativo, imagen ilustrativa y texto.
- El sistema maneja errores si el contenido de una categoría no se puede cargar.</t>
  </si>
  <si>
    <t>Funciona como un diccionario visual precargado. Puede ser ampliado por el docente mediante RF7 (Importar contenido</t>
  </si>
  <si>
    <t>Categorizar frases comunes</t>
  </si>
  <si>
    <t>RF06</t>
  </si>
  <si>
    <t>El docente necesita una forma de agrupar a sus padres (Padres) e invitarlos a un espacio de trabajo compartido.</t>
  </si>
  <si>
    <t>Permitir al docente registrar una nueva clase (ingresando un nombre) y generar un código único asociado a ella.</t>
  </si>
  <si>
    <t>Para que el docente pueda compartir ese código con los padres y estos puedan unirse (enlazar) a su clase específica.</t>
  </si>
  <si>
    <t>Docente</t>
  </si>
  <si>
    <t>1. El sistema verifica que el rol del actor autenticado sea "docente".
2. El sistema muestra la opción para ingresar el nombre de la nueva clase.
3. El actor ingresa el nombre.
4. El sistema valida que el nombre no esté previamente creado por él.
5. El sistema genera un código único de clase.
6. El sistema muestra el código generado y registra la clase en la BD.</t>
  </si>
  <si>
    <t>- El docente ingresa un nombre de clase válido y el sistema genera y muestra un código único.
- El sistema impide crear una clase con un nombre ya existente para ese docente, mostrando un error.
- La clase se registra correctamente en la base de datos.</t>
  </si>
  <si>
    <t>Es la contraparte de Enlazar clase y una precondición para esta.</t>
  </si>
  <si>
    <t>Generar código de clase</t>
  </si>
  <si>
    <t>RF07</t>
  </si>
  <si>
    <t>El docente necesita ingresar nuevo material de aprendizaje  al sistema.</t>
  </si>
  <si>
    <t>Poder cargar un conjunto de contenido multimedia  junto con información adicional .</t>
  </si>
  <si>
    <t>Para que el material importado quede almacenado en la base de datos.</t>
  </si>
  <si>
    <t>1. El actor ingresa a la sección de importación de contenido (dentro de una clase vinculada).
2. El sistema muestra un formulario para subir archivos (video, imagen) e ingresar metadatos.
3. El actor selecciona los archivos y completa los campos: título, categoría de edad, nivel (si aplica), frase asociada y palabras clave.
4. El actor envía el formulario.</t>
  </si>
  <si>
    <t>Como "Docente", llenar todos los campos del formulario con archivos y datos válidos. Al enviar, el sistema debe mostrar el mensaje "importación... exitosamente" y los datos deben guardarse.</t>
  </si>
  <si>
    <t>Si el actor cierra el administrador de archivos sin seleccionar nada, el sistema retorna al formulario. El sistema debe validar el tipo y formato de cada archivo.</t>
  </si>
  <si>
    <t xml:space="preserve"> Importar contenido</t>
  </si>
  <si>
    <t>RF08</t>
  </si>
  <si>
    <t>El docente necesita una forma centralizada y clara de monitorear el desempeño académico de cada padre para identificar dónde necesitan más apoyo.</t>
  </si>
  <si>
    <t>Poder consultar el avance educativo (progreso, errores, intentos, aciertos) de un Padre específico dentro de una clase.</t>
  </si>
  <si>
    <t>Para obtener una visión detallada del estado de aprendizaje del padre, lo que permite al docente tomar decisiones pedagógicas informadas y personalizar la enseñanza.</t>
  </si>
  <si>
    <t>1. El docente accede a una de sus clases vinculadas.
2. El sistema le muestra la lista de Padres registrados en esa clase.
3. El docente selecciona a un Padre.
4. El sistema consulta la base de datos y recupera el avance de ese Padre.
5. El sistema presenta un informe visual detallado (progreso porcentual, intentos, aciertos, errores) para que el docente lo revise.</t>
  </si>
  <si>
    <t>Como "Docente", ingresar a una clase y seleccionar un Padre que si tenga progreso registrado. El sistema debe mostrar el informe visual con los datos.</t>
  </si>
  <si>
    <t>La información de progreso que se visualiza aquí es guardada por el sistema en la base de datos de la nube inmediatamente después de que el padre/Padre termina una lección o juego.</t>
  </si>
  <si>
    <t>Visualizar progreso</t>
  </si>
  <si>
    <t>RF09</t>
  </si>
  <si>
    <t>El docente necesita conocer no solo el progreso general del estudiante, sino también el vocabulario específico (señas/palabras) que ha logrado dominar.</t>
  </si>
  <si>
    <t>Acceder a una vista que consulte y muestre todas las palabras específicas que el padre ha registrado como aprendidas.</t>
  </si>
  <si>
    <t>Para que el docente pueda revisar el progreso específico por área de conocimiento (vocabulario) y saber exactamente qué señas ha aprendido el padre.</t>
  </si>
  <si>
    <t>1. El docente accede a una clase y selecciona un estudiante/padre.
2. El docente navega a la sección o pestaña de "Historial de vocabulario" dentro del perfil del estudiante.
3. El sistema consulta la base de datos para recuperar el historial de palabras aprendidas por ese usuario.
4. El sistema muestra al docente una lista de todas las palabras/señas aprendidas, organizadas por lección y módulo.</t>
  </si>
  <si>
    <t>Como "Docente", seleccionar un padre que haya completado lecciones. El sistema debe mostrar la lista de palabras/señas específicas que ha aprendido.</t>
  </si>
  <si>
    <t>Como "Docente", seleccionar un padre que aún no ha aprendido ninguna palabra. El sistema debe mostrar un mensaje indicando que "aún no hay resultados" o "no hay historial de vocabulario".</t>
  </si>
  <si>
    <t>Ver historial de palabras aprendidas</t>
  </si>
  <si>
    <t>RF10</t>
  </si>
  <si>
    <t>El padre de familia puede no tener acceso constante a una conexión a internet, lo que le impediría utilizar la aplicación y continuar con el aprendizaje.</t>
  </si>
  <si>
    <t>Poder descargar el contenido educativo (módulos y lecciones gratuitas y activas) en el dispositivo.</t>
  </si>
  <si>
    <t>Para poder acceder y utilizar el material de aprendizaje (textos, videos, imágenes) en modo sin conexión</t>
  </si>
  <si>
    <t>1. El actor (Padre) accede a su clase vinculada.
2. El sistema muestra los módulos, diferenciando los gratuitos (seleccionables) de los de pago (restringidos).
3. El actor selecciona un módulo gratuito y un nivel de aprendizaje activo.
4. El actor acepta la opción de descargar el contenido.
5. El sistema (previa solicitud y aceptación de permisos de almacenamiento) descarga y almacena los recursos en el dispositivo.</t>
  </si>
  <si>
    <t>Intentar descargar el contenido pero negar los permisos de almacenamiento. El sistema debe mostrar el mensaje de que no se podrá usar la app sin conexión.Como "Padre", seleccionar un módulo gratuito, dar permisos de almacenamiento y confirmar la descarga. Poner el dispositivo en "modo avión" y verificar que se puede acceder al contenido del módulo descargado.</t>
  </si>
  <si>
    <t>La descarga es temporal.
Los datos se almacenan localmente solo hasta que el actor complete la lección.
Una vez completada, el progreso se sincroniza con la nube y los datos locales se borran para liberar espacio.
Solo se pueden descargar módulos gratuitos que estén activos para el usuario.</t>
  </si>
  <si>
    <t>Descargar contenido del sistema</t>
  </si>
  <si>
    <t>RF11</t>
  </si>
  <si>
    <t>El actor no puede acceder a los módulos exclusivos si no tiene membresía activa</t>
  </si>
  <si>
    <t>El usuario necesita verificar si cuenta con una membresía válida para acceder al contenido exclusivo</t>
  </si>
  <si>
    <t>Para habilitar funciones premium (traductor ilimitado y aprendizaje dinámico) o redirigir a compra</t>
  </si>
  <si>
    <t>1. El sistema verifica membresía.                                                          2. Si no es válida, muestra beneficios y opción de compra.                                                                         3. Si es válida, habilita los módulos exclusivos.</t>
  </si>
  <si>
    <t>El sistema habilita o bloquea funciones según estado de membresía.</t>
  </si>
  <si>
    <t>Muestra mensajes informativos ante fallos o pantallas no cargadas.</t>
  </si>
  <si>
    <t>Acceder a contenido exclusivo</t>
  </si>
  <si>
    <t>RF11.1</t>
  </si>
  <si>
    <t>El actor no dispone de una membresía activa</t>
  </si>
  <si>
    <t>El usuario necesita adquirir una membresía mediante pago seguro con tarjeta</t>
  </si>
  <si>
    <t>Para redirigir a API de pagos, procesar compra y habilitar acceso exclusivo</t>
  </si>
  <si>
    <t>1. Accede a “Comprar membresía”.                                  2. Sistema muestra única opción de membresía.                                                              3. Actor selecciona pago con tarjeta.                      4. Sistema lanza formulario de pago (Stripe/PayPal).                                                                                                             5. Actor ingresa datos de tarjeta.                                                                                                                      6. Sistema procesa pago.                                                                                                                                        7. Si se realizo con éxito activa membresía.                 8. Habilita módulos exclusivos.                                   9. Muestra confirmación.</t>
  </si>
  <si>
    <t>Pago exitoso → membresía activa; pago fallido → mensaje y posibilidad de reintentar.</t>
  </si>
  <si>
    <t>Manejo de errores, reembolso automático y notificación por correo si falla activación.</t>
  </si>
  <si>
    <t>Comprar membresía</t>
  </si>
  <si>
    <t>RF11.2</t>
  </si>
  <si>
    <t>El actor necesita actividades dinámicas según su nivel y vocabulario</t>
  </si>
  <si>
    <t>El usuario requiere juegos interactivos basados en su historial de vocabulario</t>
  </si>
  <si>
    <t>Para habilitar actividades como juegos de reconocimiento e imitación con cámara</t>
  </si>
  <si>
    <t>1. Sistema recupera vocabulario y nivel.                                                                                2. Sistema activa juegos educativos.                                                                                       3. Actor realiza juegos dinámicos.                                                                                        4. Sistema registra desempeño y actualiza progreso.</t>
  </si>
  <si>
    <t>Se registra progreso, aciertos y tiempo de actividad.</t>
  </si>
  <si>
    <t>Sistema advierte fallos de conexión o cargas incompletas.</t>
  </si>
  <si>
    <t>Enseñar con aprendizaje dinámico</t>
  </si>
  <si>
    <t>RF11.2.1</t>
  </si>
  <si>
    <t>El actor necesita reforzar memoria visual de señas aprendidas</t>
  </si>
  <si>
    <t>El usuario necesita practicar reconocimiento de señas mediante juegos de memoria</t>
  </si>
  <si>
    <t>Para seleccionar opciones correctas basadas en imágenes o videos</t>
  </si>
  <si>
    <t>1. Actor accede al juego de memoria.                                                                                    2. Sistema recupera vocabulario aprendido.                                                  3. Sistema genera rondas con imagen/video y opciones.                                                                         4. Actor selecciona respuesta.                                                                      5. Sistema valida e informa correcto/incorrecto                                         . 6. Muestra total de aciertos y errores.</t>
  </si>
  <si>
    <t>Validación de cada respuesta + registro de aciertos/errores.</t>
  </si>
  <si>
    <t>No guarda progreso parcial si el usuario abandona el juego.</t>
  </si>
  <si>
    <t>Juegos de memoria con señas</t>
  </si>
  <si>
    <t>RF11.2.2</t>
  </si>
  <si>
    <t>El actor necesita practicar señas realizando imitación en tiempo real</t>
  </si>
  <si>
    <t>El usuario necesita juegos que validen señas mediante cámara</t>
  </si>
  <si>
    <t>Para presentar una acción y validar la seña realizada por el actor</t>
  </si>
  <si>
    <t>1. Actor accede al juego de imitación.                                                                             2. Sistema obtiene vocabulario del historial.                                                     3. Sistema muestra palabra o frase.                                                         4. Valida permisos de cámara.                                                                                                          5. Activa cámara.                                                                                                                   6. Actor imita.                                                                                                                           7. Se repiten rondas.                                                                                                          8. Sistema muestra aciertos y errores.</t>
  </si>
  <si>
    <t>Validación correcta de imitación usando reconocimiento gestual.</t>
  </si>
  <si>
    <t>Sistema informa fallas de cámara, permisos o errores técnicos.</t>
  </si>
  <si>
    <t>Juegos de imitación de señas</t>
  </si>
  <si>
    <t>RF11.3</t>
  </si>
  <si>
    <t>El actor necesita traducir palabras o frases cortas a señas</t>
  </si>
  <si>
    <t>El usuario necesita obtener traducción visual (seña completa o deletreo)</t>
  </si>
  <si>
    <t>Para mostrar la seña en video/imagen o activar deletreo automático</t>
  </si>
  <si>
    <t>1. Actor accede al traductor.
2. Ingresa palabra o frase.
3. Sistema verifica si existe en vocabulario.
4. Si existe, muestra seña en video/imagen.
5. Si no existe, activa deletreo letra por letra.</t>
  </si>
  <si>
    <t>El sistema devuelve la seña completa o secuencia dactilológica correctamente.</t>
  </si>
  <si>
    <t>Permite traducción ilimitada; si no se encuentra palabra, usa deletreo como fallback.</t>
  </si>
  <si>
    <t>Traducir texto breve</t>
  </si>
  <si>
    <t>RF12</t>
  </si>
  <si>
    <t>El padre, al usar la aplicación por primera vez después de iniciar sesión, puede no saber cómo empezar o qué hacer.</t>
  </si>
  <si>
    <t>Mostrar una guía inicial (onboarding) al actor después de autenticarse por primera vez.</t>
  </si>
  <si>
    <t>Para guiar al actor por las funcionalidades principales (ej. cómo enlazar una clase) e informarle sobre las actividades que tiene desbloqueadas</t>
  </si>
  <si>
    <t>1. El actor accede por primera vez a la aplicación (después de Iniciar sesión).
2. El sistema identifica el rol del actor (Padre).
3. El actor decide no omitir la guía.
4. El sistema despliega mensajes breves y sugerencias sobre las funcionalidades principales (ej. "enlazar a una clase").
5. El sistema informa al actor qué actividades están desbloqueadas según su nivel.</t>
  </si>
  <si>
    <t>- Al iniciar sesión por primera vez, el sistema muestra una guía paso a paso.
- La guía resalta la función "Enlazar clase".
- El sistema maneja errores si no puede identificar el rol o pierde conexión.</t>
  </si>
  <si>
    <t>Es un "extend" del caso de uso "Iniciar sesión". Es clave para el onboarding del usuario.</t>
  </si>
  <si>
    <t>Guiar por funcionalidades del sistema</t>
  </si>
  <si>
    <t>RF13</t>
  </si>
  <si>
    <t>El sistema necesita conocer el punto de partida del padre de familia, tanto su nivel de conocimiento previo de señas como la edad de su hijo, para poder personalizar el contenido educativo.</t>
  </si>
  <si>
    <t>Poder realizar un cuestionario inicial que evalúa el nivel de conocimiento de señas del padre y registra la edad del hijo con discapacidad auditiva.</t>
  </si>
  <si>
    <t>Para que el sistema pueda procesar los resultados, asignar un nivel de conocimiento (Principiante, Intermedio, Avanzado) y una categoría de edad (1-3, 3-5, etc.), y almacenar esta información para futuras referencias.</t>
  </si>
  <si>
    <t>1. El actor (Padre) accede al módulo de prueba de conocimiento después de iniciar sesión.
2 .El sistema le presenta un cuestionario estructurado (Anexo 3).
3. El actor responde todas las preguntas (sobre señas y edad del hijo) y envía el formulario.
4. El sistema valida que todas las preguntas estén completas.
5. El sistema procesa las respuestas, calcula y determina el nivel y la categoría del actor.
6. El sistema guarda los resultados, se los muestra al actor y lo redirige a la sección "Enlazar clase".</t>
  </si>
  <si>
    <t>Conveniente</t>
  </si>
  <si>
    <t>Como "Padre", completar y enviar el formulario con todas las respuestas válidas. El sistema debe mostrar el nivel/categoría calculados y redirigir a "Enlazar clase".Intentar enviar el formulario con preguntas obligatorias sin responder. El sistema debe bloquear el envío y mostrar el mensaje: “Debe completar todas las preguntas.</t>
  </si>
  <si>
    <t>Si el formulario tiene errores de validación (ej. campos vacíos), el sistema no procesa los datos y permite al actor corregir el error en la misma pantalla.</t>
  </si>
  <si>
    <t>Realizar prueba de conocimiento</t>
  </si>
  <si>
    <t>RF14</t>
  </si>
  <si>
    <t>El padre de familia necesita encontrar contenidos específicos (ej. "comer", "baño") rápidamente, sin tener que navegar por todos los módulos y lecciones.</t>
  </si>
  <si>
    <t>Poder escribir uno o más términos de búsqueda en un módulo de filtrado.</t>
  </si>
  <si>
    <t>Para que el sistema procese los términos, ejecute un filtro (sobre títulos, frases y palabras clave) y presente una lista de resultados ordenados por relevancia, facilitando el acceso al contenido.</t>
  </si>
  <si>
    <t>1. El actor (Padre) escribe una o varias palabras clave en la barra de búsqueda/filtrado.
2. (Implícito) El actor presiona "buscar".
3. El sistema procesa los términos y filtra el contenido disponible.
4. El sistema ordena los resultados por relevancia (basada en la frecuencia de visualización).
5. El sistema muestra los contenidos filtrados al actor.</t>
  </si>
  <si>
    <t>Como "Padre", ingresar un término de búsqueda relevante (ej. "comer"). El sistema debe mostrar una lista de resultados coincidentes.ntentar buscar con el campo vacío. El sistema debe mostrar el mensaje: “Debe ingresar al menos una palabra para buscar.”</t>
  </si>
  <si>
    <t>La relevancia de los resultados (el orden) se define por el número de veces que se ha visto un contenido específico.</t>
  </si>
  <si>
    <t>Filtrar contenido</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</si>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</sst>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1.0"/>
      <color theme="1"/>
      <name val="Arial"/>
      <scheme val="minor"/>
    </font>
    <font>
      <sz val="11.0"/>
      <color theme="1"/>
      <name val="Arial Narrow"/>
    </font>
    <font>
      <b/>
      <i/>
      <sz val="10.0"/>
      <color theme="1"/>
      <name val="Arial Narrow"/>
    </font>
    <font/>
    <font>
      <sz val="10.0"/>
      <color theme="1"/>
      <name val="Arial Narrow"/>
    </font>
    <font>
      <b/>
      <i/>
      <sz val="10.0"/>
      <color rgb="FF9C6500"/>
      <name val="Arial Narrow"/>
    </font>
    <font>
      <sz val="10.0"/>
      <color rgb="FF000000"/>
      <name val="Arial Narrow"/>
    </font>
    <font>
      <sz val="11.0"/>
      <color rgb="FF000000"/>
      <name val="Arial Narrow"/>
    </font>
    <font>
      <color theme="1"/>
      <name val="Arial"/>
      <scheme val="minor"/>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vertic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Alignment="1" applyFont="1">
      <alignment horizontal="center"/>
    </xf>
    <xf borderId="0" fillId="0" fontId="4" numFmtId="0" xfId="0" applyAlignment="1" applyFont="1">
      <alignment horizontal="center" vertical="center"/>
    </xf>
    <xf borderId="4" fillId="2" fontId="5" numFmtId="0" xfId="0" applyAlignment="1" applyBorder="1" applyFill="1" applyFont="1">
      <alignment horizontal="center" shrinkToFit="0" vertical="center" wrapText="1"/>
    </xf>
    <xf borderId="4" fillId="2" fontId="5" numFmtId="0" xfId="0" applyAlignment="1" applyBorder="1" applyFont="1">
      <alignment horizontal="center" readingOrder="0" shrinkToFit="0" vertical="center" wrapText="1"/>
    </xf>
    <xf borderId="4" fillId="3" fontId="4" numFmtId="0" xfId="0" applyAlignment="1" applyBorder="1" applyFill="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164" xfId="0" applyAlignment="1" applyBorder="1" applyFont="1" applyNumberFormat="1">
      <alignment horizontal="center" readingOrder="0" shrinkToFit="0" vertical="center" wrapText="1"/>
    </xf>
    <xf borderId="4" fillId="0" fontId="4" numFmtId="49" xfId="0" applyAlignment="1" applyBorder="1" applyFont="1" applyNumberFormat="1">
      <alignment horizontal="center" readingOrder="0" shrinkToFit="0" vertical="center" wrapText="1"/>
    </xf>
    <xf borderId="4" fillId="4" fontId="6" numFmtId="0" xfId="0" applyAlignment="1" applyBorder="1" applyFill="1" applyFont="1">
      <alignment horizontal="center" readingOrder="0" shrinkToFit="0" vertical="center" wrapText="1"/>
    </xf>
    <xf borderId="0" fillId="0" fontId="4" numFmtId="0" xfId="0" applyAlignment="1" applyFont="1">
      <alignment horizontal="center" readingOrder="0"/>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xf>
    <xf borderId="4" fillId="0" fontId="4" numFmtId="0" xfId="0" applyAlignment="1" applyBorder="1" applyFont="1">
      <alignment horizontal="center"/>
    </xf>
    <xf borderId="4" fillId="0" fontId="4" numFmtId="0" xfId="0" applyAlignment="1" applyBorder="1" applyFont="1">
      <alignment horizontal="center" readingOrder="0" shrinkToFit="0" wrapText="1"/>
    </xf>
    <xf borderId="0" fillId="0" fontId="4" numFmtId="0" xfId="0" applyAlignment="1" applyFont="1">
      <alignment horizontal="center" readingOrder="0" shrinkToFit="0" wrapText="1"/>
    </xf>
    <xf borderId="0" fillId="0" fontId="7" numFmtId="0" xfId="0" applyAlignment="1" applyFont="1">
      <alignment horizontal="center"/>
    </xf>
    <xf borderId="0" fillId="0" fontId="1" numFmtId="0" xfId="0" applyAlignment="1" applyFont="1">
      <alignment horizontal="center" readingOrder="0"/>
    </xf>
    <xf borderId="0" fillId="0" fontId="8" numFmtId="0" xfId="0" applyAlignment="1" applyFont="1">
      <alignment horizontal="center"/>
    </xf>
    <xf borderId="0" fillId="0" fontId="9" numFmtId="0" xfId="0" applyAlignment="1" applyFont="1">
      <alignment horizontal="left" shrinkToFit="0" vertical="center" wrapText="1"/>
    </xf>
    <xf borderId="0" fillId="0" fontId="10" numFmtId="0" xfId="0" applyFont="1"/>
    <xf borderId="1" fillId="5" fontId="11" numFmtId="0" xfId="0" applyAlignment="1" applyBorder="1" applyFill="1" applyFont="1">
      <alignment horizontal="center" shrinkToFit="0" vertical="center" wrapText="1"/>
    </xf>
    <xf borderId="0" fillId="0" fontId="12" numFmtId="0" xfId="0" applyFont="1"/>
    <xf borderId="0" fillId="0" fontId="9" numFmtId="0" xfId="0" applyAlignment="1" applyFont="1">
      <alignment horizontal="center" shrinkToFit="0" vertical="center" wrapText="1"/>
    </xf>
    <xf borderId="5" fillId="5" fontId="12" numFmtId="0" xfId="0" applyBorder="1" applyFont="1"/>
    <xf borderId="6" fillId="5" fontId="9" numFmtId="0" xfId="0" applyAlignment="1" applyBorder="1" applyFont="1">
      <alignment horizontal="left" shrinkToFit="0" vertical="center" wrapText="1"/>
    </xf>
    <xf borderId="6" fillId="5" fontId="10" numFmtId="0" xfId="0" applyBorder="1" applyFont="1"/>
    <xf borderId="6" fillId="5" fontId="12" numFmtId="0" xfId="0" applyBorder="1" applyFont="1"/>
    <xf borderId="7" fillId="5" fontId="12" numFmtId="0" xfId="0" applyBorder="1" applyFont="1"/>
    <xf borderId="8" fillId="5" fontId="12" numFmtId="0" xfId="0" applyBorder="1" applyFont="1"/>
    <xf borderId="4" fillId="6" fontId="13" numFmtId="0" xfId="0" applyAlignment="1" applyBorder="1" applyFill="1" applyFont="1">
      <alignment horizontal="center" vertical="center"/>
    </xf>
    <xf borderId="9" fillId="5" fontId="14" numFmtId="0" xfId="0" applyAlignment="1" applyBorder="1" applyFont="1">
      <alignment vertical="center"/>
    </xf>
    <xf borderId="1" fillId="6" fontId="13" numFmtId="0" xfId="0" applyAlignment="1" applyBorder="1" applyFont="1">
      <alignment horizontal="center" vertical="center"/>
    </xf>
    <xf borderId="9" fillId="5" fontId="12" numFmtId="0" xfId="0" applyBorder="1" applyFont="1"/>
    <xf borderId="10" fillId="5" fontId="12" numFmtId="0" xfId="0" applyBorder="1" applyFont="1"/>
    <xf borderId="4" fillId="7" fontId="15" numFmtId="0" xfId="0" applyAlignment="1" applyBorder="1" applyFill="1" applyFont="1">
      <alignment horizontal="center" readingOrder="0" vertical="center"/>
    </xf>
    <xf borderId="9" fillId="5" fontId="10" numFmtId="0" xfId="0" applyAlignment="1" applyBorder="1" applyFont="1">
      <alignment shrinkToFit="0" vertical="center" wrapText="1"/>
    </xf>
    <xf borderId="1" fillId="7" fontId="10" numFmtId="0" xfId="0" applyAlignment="1" applyBorder="1" applyFont="1">
      <alignment horizontal="center" vertical="center"/>
    </xf>
    <xf borderId="9" fillId="5" fontId="10" numFmtId="0" xfId="0" applyAlignment="1" applyBorder="1" applyFont="1">
      <alignment vertical="center"/>
    </xf>
    <xf borderId="9" fillId="5" fontId="15" numFmtId="0" xfId="0" applyAlignment="1" applyBorder="1" applyFont="1">
      <alignment horizontal="center" vertical="center"/>
    </xf>
    <xf borderId="9" fillId="5" fontId="10" numFmtId="0" xfId="0" applyAlignment="1" applyBorder="1" applyFont="1">
      <alignment horizontal="center" vertical="center"/>
    </xf>
    <xf borderId="4" fillId="7" fontId="15" numFmtId="0" xfId="0" applyAlignment="1" applyBorder="1" applyFont="1">
      <alignment horizontal="center" vertical="center"/>
    </xf>
    <xf borderId="11" fillId="8" fontId="13" numFmtId="0" xfId="0" applyAlignment="1" applyBorder="1" applyFill="1" applyFont="1">
      <alignment horizontal="center" vertical="center"/>
    </xf>
    <xf borderId="12" fillId="7" fontId="10" numFmtId="0" xfId="0" applyAlignment="1" applyBorder="1" applyFont="1">
      <alignment horizontal="center" shrinkToFit="0" vertical="center" wrapText="1"/>
    </xf>
    <xf borderId="13" fillId="0" fontId="3" numFmtId="0" xfId="0" applyBorder="1" applyFont="1"/>
    <xf borderId="9" fillId="5" fontId="12" numFmtId="0" xfId="0" applyAlignment="1" applyBorder="1" applyFont="1">
      <alignment horizontal="center"/>
    </xf>
    <xf borderId="14" fillId="0" fontId="3" numFmtId="0" xfId="0" applyBorder="1" applyFont="1"/>
    <xf borderId="12" fillId="7" fontId="10" numFmtId="0" xfId="0" applyAlignment="1" applyBorder="1" applyFont="1">
      <alignment horizontal="left" shrinkToFit="0" vertical="top"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9" fontId="16" numFmtId="0" xfId="0" applyAlignment="1" applyBorder="1" applyFill="1" applyFont="1">
      <alignment horizontal="center" vertical="center"/>
    </xf>
    <xf borderId="22" fillId="2" fontId="15"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3" numFmtId="0" xfId="0" applyAlignment="1" applyBorder="1" applyFont="1">
      <alignment horizontal="center" vertical="center"/>
    </xf>
    <xf borderId="12" fillId="7" fontId="10" numFmtId="49" xfId="0" applyAlignment="1" applyBorder="1" applyFont="1" applyNumberFormat="1">
      <alignment horizontal="left" vertical="center"/>
    </xf>
    <xf borderId="28" fillId="5" fontId="12" numFmtId="0" xfId="0" applyBorder="1" applyFont="1"/>
    <xf borderId="29" fillId="5" fontId="12" numFmtId="0" xfId="0" applyBorder="1" applyFont="1"/>
    <xf borderId="30" fillId="5" fontId="12"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4.63"/>
    <col customWidth="1" min="2" max="2" width="6.63"/>
    <col customWidth="1" min="3" max="5" width="20.63"/>
    <col customWidth="1" min="6" max="6" width="13.13"/>
    <col customWidth="1" min="7" max="7" width="32.5"/>
    <col customWidth="1" min="8" max="8" width="16.25"/>
    <col customWidth="1" min="9" max="10" width="10.63"/>
    <col customWidth="1" min="11" max="11" width="13.88"/>
    <col customWidth="1" min="12" max="12" width="13.38"/>
    <col customWidth="1" min="13" max="13" width="32.75"/>
    <col customWidth="1" min="14" max="15" width="20.63"/>
    <col customWidth="1" min="16" max="26" width="9.38"/>
  </cols>
  <sheetData>
    <row r="1" hidden="1">
      <c r="A1" s="1"/>
      <c r="B1" s="1"/>
      <c r="C1" s="1"/>
      <c r="D1" s="1"/>
      <c r="E1" s="1"/>
      <c r="F1" s="1"/>
      <c r="G1" s="1"/>
      <c r="H1" s="1"/>
      <c r="I1" s="2"/>
      <c r="J1" s="2"/>
      <c r="K1" s="1"/>
      <c r="L1" s="2"/>
      <c r="M1" s="1"/>
      <c r="N1" s="1"/>
      <c r="O1" s="1"/>
      <c r="P1" s="1"/>
      <c r="Q1" s="1"/>
      <c r="R1" s="1"/>
      <c r="S1" s="1"/>
      <c r="T1" s="1"/>
      <c r="U1" s="1"/>
      <c r="V1" s="1"/>
      <c r="W1" s="1"/>
      <c r="X1" s="1"/>
      <c r="Y1" s="1"/>
      <c r="Z1" s="1"/>
    </row>
    <row r="2" ht="45.0" hidden="1" customHeight="1">
      <c r="A2" s="1"/>
      <c r="B2" s="3" t="s">
        <v>0</v>
      </c>
      <c r="C2" s="4"/>
      <c r="D2" s="4"/>
      <c r="E2" s="4"/>
      <c r="F2" s="4"/>
      <c r="G2" s="4"/>
      <c r="H2" s="4"/>
      <c r="I2" s="4"/>
      <c r="J2" s="4"/>
      <c r="K2" s="4"/>
      <c r="L2" s="4"/>
      <c r="M2" s="4"/>
      <c r="N2" s="4"/>
      <c r="O2" s="5"/>
      <c r="P2" s="1"/>
      <c r="Q2" s="1"/>
      <c r="R2" s="1"/>
      <c r="S2" s="1"/>
      <c r="T2" s="1"/>
      <c r="U2" s="1"/>
      <c r="V2" s="1"/>
      <c r="W2" s="1"/>
      <c r="X2" s="1"/>
      <c r="Y2" s="1"/>
      <c r="Z2" s="1"/>
    </row>
    <row r="3" hidden="1">
      <c r="A3" s="1"/>
      <c r="B3" s="6"/>
      <c r="C3" s="6"/>
      <c r="D3" s="6"/>
      <c r="E3" s="6"/>
      <c r="F3" s="6"/>
      <c r="G3" s="6"/>
      <c r="H3" s="6"/>
      <c r="I3" s="7"/>
      <c r="J3" s="7"/>
      <c r="K3" s="6"/>
      <c r="L3" s="7"/>
      <c r="M3" s="6"/>
      <c r="N3" s="6"/>
      <c r="O3" s="6"/>
      <c r="P3" s="1"/>
      <c r="Q3" s="1"/>
      <c r="R3" s="1"/>
      <c r="S3" s="1"/>
      <c r="T3" s="1"/>
      <c r="U3" s="1"/>
      <c r="V3" s="1"/>
      <c r="W3" s="1"/>
      <c r="X3" s="1"/>
      <c r="Y3" s="1"/>
      <c r="Z3" s="1"/>
    </row>
    <row r="4" ht="60.0" customHeight="1">
      <c r="A4" s="1"/>
      <c r="B4" s="8" t="s">
        <v>1</v>
      </c>
      <c r="C4" s="8" t="s">
        <v>2</v>
      </c>
      <c r="D4" s="8" t="s">
        <v>3</v>
      </c>
      <c r="E4" s="8" t="s">
        <v>4</v>
      </c>
      <c r="F4" s="8" t="s">
        <v>5</v>
      </c>
      <c r="G4" s="8" t="s">
        <v>6</v>
      </c>
      <c r="H4" s="9" t="s">
        <v>7</v>
      </c>
      <c r="I4" s="8" t="s">
        <v>8</v>
      </c>
      <c r="J4" s="9" t="s">
        <v>9</v>
      </c>
      <c r="K4" s="8" t="s">
        <v>10</v>
      </c>
      <c r="L4" s="8" t="s">
        <v>11</v>
      </c>
      <c r="M4" s="8" t="s">
        <v>12</v>
      </c>
      <c r="N4" s="8" t="s">
        <v>13</v>
      </c>
      <c r="O4" s="8" t="s">
        <v>14</v>
      </c>
      <c r="P4" s="1"/>
      <c r="Q4" s="1"/>
      <c r="R4" s="1"/>
      <c r="S4" s="1"/>
      <c r="T4" s="1"/>
      <c r="U4" s="1"/>
      <c r="V4" s="1"/>
      <c r="W4" s="1"/>
      <c r="X4" s="1"/>
      <c r="Y4" s="1"/>
      <c r="Z4" s="1"/>
    </row>
    <row r="5">
      <c r="A5" s="1"/>
      <c r="B5" s="10" t="s">
        <v>15</v>
      </c>
      <c r="C5" s="11" t="s">
        <v>16</v>
      </c>
      <c r="D5" s="11" t="s">
        <v>17</v>
      </c>
      <c r="E5" s="11" t="s">
        <v>18</v>
      </c>
      <c r="F5" s="11" t="s">
        <v>19</v>
      </c>
      <c r="G5" s="11" t="s">
        <v>20</v>
      </c>
      <c r="H5" s="11" t="s">
        <v>21</v>
      </c>
      <c r="I5" s="11">
        <v>8.0</v>
      </c>
      <c r="J5" s="12">
        <v>45979.0</v>
      </c>
      <c r="K5" s="11" t="s">
        <v>22</v>
      </c>
      <c r="L5" s="11" t="s">
        <v>23</v>
      </c>
      <c r="M5" s="13" t="s">
        <v>24</v>
      </c>
      <c r="N5" s="11" t="s">
        <v>25</v>
      </c>
      <c r="O5" s="11" t="s">
        <v>26</v>
      </c>
      <c r="P5" s="1"/>
      <c r="Q5" s="1"/>
      <c r="R5" s="1"/>
      <c r="S5" s="1"/>
      <c r="T5" s="1"/>
      <c r="U5" s="1"/>
      <c r="V5" s="1"/>
      <c r="W5" s="1"/>
      <c r="X5" s="1"/>
      <c r="Y5" s="1"/>
      <c r="Z5" s="1"/>
    </row>
    <row r="6" ht="75.75" customHeight="1">
      <c r="A6" s="1"/>
      <c r="B6" s="10" t="s">
        <v>27</v>
      </c>
      <c r="C6" s="11" t="s">
        <v>28</v>
      </c>
      <c r="D6" s="11" t="s">
        <v>29</v>
      </c>
      <c r="E6" s="11" t="s">
        <v>30</v>
      </c>
      <c r="F6" s="11" t="s">
        <v>31</v>
      </c>
      <c r="G6" s="11" t="s">
        <v>32</v>
      </c>
      <c r="H6" s="11" t="s">
        <v>33</v>
      </c>
      <c r="I6" s="11">
        <v>4.0</v>
      </c>
      <c r="J6" s="12">
        <v>45979.0</v>
      </c>
      <c r="K6" s="11" t="s">
        <v>22</v>
      </c>
      <c r="L6" s="11" t="s">
        <v>23</v>
      </c>
      <c r="M6" s="13" t="s">
        <v>34</v>
      </c>
      <c r="N6" s="11" t="s">
        <v>35</v>
      </c>
      <c r="O6" s="11" t="s">
        <v>36</v>
      </c>
      <c r="P6" s="1"/>
      <c r="Q6" s="1"/>
      <c r="R6" s="1"/>
      <c r="S6" s="1"/>
      <c r="T6" s="1"/>
      <c r="U6" s="1"/>
      <c r="V6" s="1"/>
      <c r="W6" s="1"/>
      <c r="X6" s="1"/>
      <c r="Y6" s="1"/>
      <c r="Z6" s="1"/>
    </row>
    <row r="7">
      <c r="A7" s="1"/>
      <c r="B7" s="10" t="s">
        <v>37</v>
      </c>
      <c r="C7" s="11" t="s">
        <v>38</v>
      </c>
      <c r="D7" s="11" t="s">
        <v>39</v>
      </c>
      <c r="E7" s="11" t="s">
        <v>40</v>
      </c>
      <c r="F7" s="11" t="s">
        <v>41</v>
      </c>
      <c r="G7" s="14" t="s">
        <v>42</v>
      </c>
      <c r="H7" s="11" t="s">
        <v>43</v>
      </c>
      <c r="I7" s="11">
        <v>4.0</v>
      </c>
      <c r="J7" s="12">
        <v>45979.0</v>
      </c>
      <c r="K7" s="11" t="s">
        <v>22</v>
      </c>
      <c r="L7" s="11" t="s">
        <v>44</v>
      </c>
      <c r="M7" s="11" t="s">
        <v>45</v>
      </c>
      <c r="N7" s="11" t="s">
        <v>46</v>
      </c>
      <c r="O7" s="11" t="s">
        <v>47</v>
      </c>
      <c r="P7" s="1"/>
      <c r="Q7" s="1"/>
      <c r="R7" s="1"/>
      <c r="S7" s="1"/>
      <c r="T7" s="1"/>
      <c r="U7" s="1"/>
      <c r="V7" s="1"/>
      <c r="W7" s="1"/>
      <c r="X7" s="1"/>
      <c r="Y7" s="1"/>
      <c r="Z7" s="1"/>
    </row>
    <row r="8">
      <c r="A8" s="1"/>
      <c r="B8" s="10" t="s">
        <v>48</v>
      </c>
      <c r="C8" s="11" t="s">
        <v>49</v>
      </c>
      <c r="D8" s="14" t="s">
        <v>50</v>
      </c>
      <c r="E8" s="11" t="s">
        <v>51</v>
      </c>
      <c r="F8" s="11" t="s">
        <v>41</v>
      </c>
      <c r="G8" s="14" t="s">
        <v>52</v>
      </c>
      <c r="H8" s="11" t="s">
        <v>21</v>
      </c>
      <c r="I8" s="11">
        <v>6.0</v>
      </c>
      <c r="J8" s="12">
        <v>45979.0</v>
      </c>
      <c r="K8" s="11" t="s">
        <v>22</v>
      </c>
      <c r="L8" s="11" t="s">
        <v>23</v>
      </c>
      <c r="M8" s="11" t="s">
        <v>53</v>
      </c>
      <c r="N8" s="11" t="s">
        <v>54</v>
      </c>
      <c r="O8" s="11" t="s">
        <v>55</v>
      </c>
      <c r="P8" s="1"/>
      <c r="Q8" s="1"/>
      <c r="R8" s="1"/>
      <c r="S8" s="1"/>
      <c r="T8" s="1"/>
      <c r="U8" s="1"/>
      <c r="V8" s="1"/>
      <c r="W8" s="1"/>
      <c r="X8" s="1"/>
      <c r="Y8" s="1"/>
      <c r="Z8" s="1"/>
    </row>
    <row r="9">
      <c r="A9" s="1"/>
      <c r="B9" s="10" t="s">
        <v>56</v>
      </c>
      <c r="C9" s="15" t="s">
        <v>57</v>
      </c>
      <c r="D9" s="11" t="s">
        <v>58</v>
      </c>
      <c r="E9" s="11" t="s">
        <v>59</v>
      </c>
      <c r="F9" s="11" t="s">
        <v>41</v>
      </c>
      <c r="G9" s="11" t="s">
        <v>60</v>
      </c>
      <c r="H9" s="11" t="s">
        <v>21</v>
      </c>
      <c r="I9" s="11">
        <v>6.0</v>
      </c>
      <c r="J9" s="12">
        <v>45979.0</v>
      </c>
      <c r="K9" s="11" t="s">
        <v>22</v>
      </c>
      <c r="L9" s="11" t="s">
        <v>23</v>
      </c>
      <c r="M9" s="13" t="s">
        <v>61</v>
      </c>
      <c r="N9" s="11" t="s">
        <v>62</v>
      </c>
      <c r="O9" s="11" t="s">
        <v>63</v>
      </c>
      <c r="P9" s="1"/>
      <c r="Q9" s="1"/>
      <c r="R9" s="1"/>
      <c r="S9" s="1"/>
      <c r="T9" s="1"/>
      <c r="U9" s="1"/>
      <c r="V9" s="1"/>
      <c r="W9" s="1"/>
      <c r="X9" s="1"/>
      <c r="Y9" s="1"/>
      <c r="Z9" s="1"/>
    </row>
    <row r="10">
      <c r="A10" s="1"/>
      <c r="B10" s="10" t="s">
        <v>64</v>
      </c>
      <c r="C10" s="11" t="s">
        <v>65</v>
      </c>
      <c r="D10" s="16" t="s">
        <v>66</v>
      </c>
      <c r="E10" s="11" t="s">
        <v>67</v>
      </c>
      <c r="F10" s="11" t="s">
        <v>41</v>
      </c>
      <c r="G10" s="14" t="s">
        <v>68</v>
      </c>
      <c r="H10" s="11" t="s">
        <v>21</v>
      </c>
      <c r="I10" s="11">
        <v>6.0</v>
      </c>
      <c r="J10" s="12">
        <v>45979.0</v>
      </c>
      <c r="K10" s="11" t="s">
        <v>22</v>
      </c>
      <c r="L10" s="11" t="s">
        <v>23</v>
      </c>
      <c r="M10" s="11" t="s">
        <v>69</v>
      </c>
      <c r="N10" s="11" t="s">
        <v>70</v>
      </c>
      <c r="O10" s="11" t="s">
        <v>71</v>
      </c>
      <c r="P10" s="1"/>
      <c r="Q10" s="1"/>
      <c r="R10" s="1"/>
      <c r="S10" s="1"/>
      <c r="T10" s="1"/>
      <c r="U10" s="1"/>
      <c r="V10" s="1"/>
      <c r="W10" s="1"/>
      <c r="X10" s="1"/>
      <c r="Y10" s="1"/>
      <c r="Z10" s="1"/>
    </row>
    <row r="11">
      <c r="A11" s="1"/>
      <c r="B11" s="10" t="s">
        <v>72</v>
      </c>
      <c r="C11" s="11" t="s">
        <v>73</v>
      </c>
      <c r="D11" s="14" t="s">
        <v>74</v>
      </c>
      <c r="E11" s="11" t="s">
        <v>75</v>
      </c>
      <c r="F11" s="11" t="s">
        <v>41</v>
      </c>
      <c r="G11" s="14" t="s">
        <v>76</v>
      </c>
      <c r="H11" s="11" t="s">
        <v>21</v>
      </c>
      <c r="I11" s="11">
        <v>6.0</v>
      </c>
      <c r="J11" s="12">
        <v>45979.0</v>
      </c>
      <c r="K11" s="11" t="s">
        <v>22</v>
      </c>
      <c r="L11" s="11" t="s">
        <v>23</v>
      </c>
      <c r="M11" s="11" t="s">
        <v>77</v>
      </c>
      <c r="N11" s="11" t="s">
        <v>78</v>
      </c>
      <c r="O11" s="11" t="s">
        <v>79</v>
      </c>
      <c r="P11" s="1"/>
      <c r="Q11" s="1"/>
      <c r="R11" s="1"/>
      <c r="S11" s="1"/>
      <c r="T11" s="1"/>
      <c r="U11" s="1"/>
      <c r="V11" s="1"/>
      <c r="W11" s="1"/>
      <c r="X11" s="1"/>
      <c r="Y11" s="1"/>
      <c r="Z11" s="1"/>
    </row>
    <row r="12">
      <c r="A12" s="1"/>
      <c r="B12" s="10" t="s">
        <v>80</v>
      </c>
      <c r="C12" s="11" t="s">
        <v>81</v>
      </c>
      <c r="D12" s="14" t="s">
        <v>82</v>
      </c>
      <c r="E12" s="11" t="s">
        <v>83</v>
      </c>
      <c r="F12" s="11" t="s">
        <v>41</v>
      </c>
      <c r="G12" s="14" t="s">
        <v>84</v>
      </c>
      <c r="H12" s="11" t="s">
        <v>21</v>
      </c>
      <c r="I12" s="11">
        <v>5.0</v>
      </c>
      <c r="J12" s="12">
        <v>45979.0</v>
      </c>
      <c r="K12" s="11" t="s">
        <v>22</v>
      </c>
      <c r="L12" s="11" t="s">
        <v>23</v>
      </c>
      <c r="M12" s="11" t="s">
        <v>85</v>
      </c>
      <c r="N12" s="17" t="s">
        <v>86</v>
      </c>
      <c r="O12" s="11" t="s">
        <v>87</v>
      </c>
      <c r="P12" s="1"/>
      <c r="Q12" s="1"/>
      <c r="R12" s="1"/>
      <c r="S12" s="1"/>
      <c r="T12" s="1"/>
      <c r="U12" s="1"/>
      <c r="V12" s="1"/>
      <c r="W12" s="1"/>
      <c r="X12" s="1"/>
      <c r="Y12" s="1"/>
      <c r="Z12" s="1"/>
    </row>
    <row r="13">
      <c r="A13" s="1"/>
      <c r="B13" s="10" t="s">
        <v>88</v>
      </c>
      <c r="C13" s="11" t="s">
        <v>89</v>
      </c>
      <c r="D13" s="11" t="s">
        <v>90</v>
      </c>
      <c r="E13" s="11" t="s">
        <v>91</v>
      </c>
      <c r="F13" s="11" t="s">
        <v>41</v>
      </c>
      <c r="G13" s="14" t="s">
        <v>92</v>
      </c>
      <c r="H13" s="11" t="s">
        <v>21</v>
      </c>
      <c r="I13" s="11">
        <v>5.0</v>
      </c>
      <c r="J13" s="12">
        <v>45979.0</v>
      </c>
      <c r="K13" s="11" t="s">
        <v>22</v>
      </c>
      <c r="L13" s="11" t="s">
        <v>23</v>
      </c>
      <c r="M13" s="11" t="s">
        <v>93</v>
      </c>
      <c r="N13" s="17" t="s">
        <v>94</v>
      </c>
      <c r="O13" s="11" t="s">
        <v>95</v>
      </c>
      <c r="P13" s="1"/>
      <c r="Q13" s="1"/>
      <c r="R13" s="1"/>
      <c r="S13" s="1"/>
      <c r="T13" s="1"/>
      <c r="U13" s="1"/>
      <c r="V13" s="1"/>
      <c r="W13" s="1"/>
      <c r="X13" s="1"/>
      <c r="Y13" s="1"/>
      <c r="Z13" s="1"/>
    </row>
    <row r="14">
      <c r="A14" s="1"/>
      <c r="B14" s="10" t="s">
        <v>96</v>
      </c>
      <c r="C14" s="11" t="s">
        <v>97</v>
      </c>
      <c r="D14" s="11" t="s">
        <v>98</v>
      </c>
      <c r="E14" s="11" t="s">
        <v>99</v>
      </c>
      <c r="F14" s="11" t="s">
        <v>41</v>
      </c>
      <c r="G14" s="14" t="s">
        <v>100</v>
      </c>
      <c r="H14" s="11" t="s">
        <v>21</v>
      </c>
      <c r="I14" s="11">
        <v>6.0</v>
      </c>
      <c r="J14" s="12">
        <v>45979.0</v>
      </c>
      <c r="K14" s="11" t="s">
        <v>22</v>
      </c>
      <c r="L14" s="11" t="s">
        <v>23</v>
      </c>
      <c r="M14" s="11" t="s">
        <v>101</v>
      </c>
      <c r="N14" s="17" t="s">
        <v>102</v>
      </c>
      <c r="O14" s="11" t="s">
        <v>103</v>
      </c>
      <c r="P14" s="1"/>
      <c r="Q14" s="1"/>
      <c r="R14" s="1"/>
      <c r="S14" s="1"/>
      <c r="T14" s="1"/>
      <c r="U14" s="1"/>
      <c r="V14" s="1"/>
      <c r="W14" s="1"/>
      <c r="X14" s="1"/>
      <c r="Y14" s="1"/>
      <c r="Z14" s="1"/>
    </row>
    <row r="15">
      <c r="A15" s="1"/>
      <c r="B15" s="10" t="s">
        <v>104</v>
      </c>
      <c r="C15" s="11" t="s">
        <v>105</v>
      </c>
      <c r="D15" s="11" t="s">
        <v>106</v>
      </c>
      <c r="E15" s="11" t="s">
        <v>107</v>
      </c>
      <c r="F15" s="11" t="s">
        <v>41</v>
      </c>
      <c r="G15" s="14" t="s">
        <v>108</v>
      </c>
      <c r="H15" s="11" t="s">
        <v>33</v>
      </c>
      <c r="I15" s="11">
        <v>6.0</v>
      </c>
      <c r="J15" s="12">
        <v>45979.0</v>
      </c>
      <c r="K15" s="11" t="s">
        <v>22</v>
      </c>
      <c r="L15" s="11" t="s">
        <v>23</v>
      </c>
      <c r="M15" s="11" t="s">
        <v>109</v>
      </c>
      <c r="N15" s="18"/>
      <c r="O15" s="11" t="s">
        <v>110</v>
      </c>
      <c r="P15" s="1"/>
      <c r="Q15" s="1"/>
      <c r="R15" s="1"/>
      <c r="S15" s="1"/>
      <c r="T15" s="1"/>
      <c r="U15" s="1"/>
      <c r="V15" s="1"/>
      <c r="W15" s="1"/>
      <c r="X15" s="1"/>
      <c r="Y15" s="1"/>
      <c r="Z15" s="1"/>
    </row>
    <row r="16">
      <c r="A16" s="1"/>
      <c r="B16" s="10" t="s">
        <v>111</v>
      </c>
      <c r="C16" s="11" t="s">
        <v>112</v>
      </c>
      <c r="D16" s="11" t="s">
        <v>113</v>
      </c>
      <c r="E16" s="11" t="s">
        <v>114</v>
      </c>
      <c r="F16" s="11" t="s">
        <v>41</v>
      </c>
      <c r="G16" s="14" t="s">
        <v>115</v>
      </c>
      <c r="H16" s="11" t="s">
        <v>33</v>
      </c>
      <c r="I16" s="11">
        <v>6.0</v>
      </c>
      <c r="J16" s="12">
        <v>45979.0</v>
      </c>
      <c r="K16" s="11" t="s">
        <v>22</v>
      </c>
      <c r="L16" s="11" t="s">
        <v>23</v>
      </c>
      <c r="M16" s="11" t="s">
        <v>116</v>
      </c>
      <c r="N16" s="17" t="s">
        <v>117</v>
      </c>
      <c r="O16" s="11" t="s">
        <v>118</v>
      </c>
      <c r="P16" s="1"/>
      <c r="Q16" s="1"/>
      <c r="R16" s="1"/>
      <c r="S16" s="1"/>
      <c r="T16" s="1"/>
      <c r="U16" s="1"/>
      <c r="V16" s="1"/>
      <c r="W16" s="1"/>
      <c r="X16" s="1"/>
      <c r="Y16" s="1"/>
      <c r="Z16" s="1"/>
    </row>
    <row r="17">
      <c r="A17" s="1"/>
      <c r="B17" s="10" t="s">
        <v>119</v>
      </c>
      <c r="C17" s="11" t="s">
        <v>120</v>
      </c>
      <c r="D17" s="11" t="s">
        <v>121</v>
      </c>
      <c r="E17" s="11" t="s">
        <v>122</v>
      </c>
      <c r="F17" s="11" t="s">
        <v>123</v>
      </c>
      <c r="G17" s="14" t="s">
        <v>124</v>
      </c>
      <c r="H17" s="11" t="s">
        <v>33</v>
      </c>
      <c r="I17" s="11">
        <v>6.0</v>
      </c>
      <c r="J17" s="12">
        <v>45979.0</v>
      </c>
      <c r="K17" s="11" t="s">
        <v>22</v>
      </c>
      <c r="L17" s="11" t="s">
        <v>23</v>
      </c>
      <c r="M17" s="11" t="s">
        <v>125</v>
      </c>
      <c r="N17" s="17" t="s">
        <v>126</v>
      </c>
      <c r="O17" s="11" t="s">
        <v>127</v>
      </c>
      <c r="P17" s="1"/>
      <c r="Q17" s="1"/>
      <c r="R17" s="1"/>
      <c r="S17" s="1"/>
      <c r="T17" s="1"/>
      <c r="U17" s="1"/>
      <c r="V17" s="1"/>
      <c r="W17" s="1"/>
      <c r="X17" s="1"/>
      <c r="Y17" s="1"/>
      <c r="Z17" s="1"/>
    </row>
    <row r="18" ht="48.75" customHeight="1">
      <c r="A18" s="1"/>
      <c r="B18" s="10" t="s">
        <v>128</v>
      </c>
      <c r="C18" s="19" t="s">
        <v>129</v>
      </c>
      <c r="D18" s="20" t="s">
        <v>130</v>
      </c>
      <c r="E18" s="11" t="s">
        <v>131</v>
      </c>
      <c r="F18" s="15" t="s">
        <v>123</v>
      </c>
      <c r="G18" s="14" t="s">
        <v>132</v>
      </c>
      <c r="H18" s="11" t="s">
        <v>43</v>
      </c>
      <c r="I18" s="11">
        <v>6.0</v>
      </c>
      <c r="J18" s="12">
        <v>45979.0</v>
      </c>
      <c r="K18" s="11" t="s">
        <v>22</v>
      </c>
      <c r="L18" s="11" t="s">
        <v>23</v>
      </c>
      <c r="M18" s="20" t="s">
        <v>133</v>
      </c>
      <c r="N18" s="19" t="s">
        <v>134</v>
      </c>
      <c r="O18" s="11" t="s">
        <v>135</v>
      </c>
      <c r="P18" s="1"/>
      <c r="Q18" s="1"/>
      <c r="R18" s="1"/>
      <c r="S18" s="1"/>
      <c r="T18" s="1"/>
      <c r="U18" s="1"/>
      <c r="V18" s="1"/>
      <c r="W18" s="1"/>
      <c r="X18" s="1"/>
      <c r="Y18" s="1"/>
      <c r="Z18" s="1"/>
    </row>
    <row r="19">
      <c r="A19" s="1"/>
      <c r="B19" s="10" t="s">
        <v>136</v>
      </c>
      <c r="C19" s="11" t="s">
        <v>137</v>
      </c>
      <c r="D19" s="11" t="s">
        <v>138</v>
      </c>
      <c r="E19" s="11" t="s">
        <v>139</v>
      </c>
      <c r="F19" s="11" t="s">
        <v>123</v>
      </c>
      <c r="G19" s="11" t="s">
        <v>140</v>
      </c>
      <c r="H19" s="11" t="s">
        <v>43</v>
      </c>
      <c r="I19" s="11">
        <v>6.0</v>
      </c>
      <c r="J19" s="12">
        <v>45979.0</v>
      </c>
      <c r="K19" s="11" t="s">
        <v>22</v>
      </c>
      <c r="L19" s="11" t="s">
        <v>23</v>
      </c>
      <c r="M19" s="14" t="s">
        <v>141</v>
      </c>
      <c r="N19" s="11" t="s">
        <v>142</v>
      </c>
      <c r="O19" s="19" t="s">
        <v>143</v>
      </c>
      <c r="P19" s="1"/>
      <c r="Q19" s="1"/>
      <c r="R19" s="1"/>
      <c r="S19" s="1"/>
      <c r="T19" s="1"/>
      <c r="U19" s="1"/>
      <c r="V19" s="1"/>
      <c r="W19" s="1"/>
      <c r="X19" s="1"/>
      <c r="Y19" s="1"/>
      <c r="Z19" s="1"/>
    </row>
    <row r="20" ht="15.75" customHeight="1">
      <c r="A20" s="1"/>
      <c r="B20" s="10" t="s">
        <v>144</v>
      </c>
      <c r="C20" s="11" t="s">
        <v>145</v>
      </c>
      <c r="D20" s="11" t="s">
        <v>146</v>
      </c>
      <c r="E20" s="11" t="s">
        <v>147</v>
      </c>
      <c r="F20" s="11" t="s">
        <v>123</v>
      </c>
      <c r="G20" s="11" t="s">
        <v>148</v>
      </c>
      <c r="H20" s="11" t="s">
        <v>43</v>
      </c>
      <c r="I20" s="11">
        <v>6.0</v>
      </c>
      <c r="J20" s="12">
        <v>45979.0</v>
      </c>
      <c r="K20" s="11" t="s">
        <v>22</v>
      </c>
      <c r="L20" s="11" t="s">
        <v>23</v>
      </c>
      <c r="M20" s="11" t="s">
        <v>149</v>
      </c>
      <c r="N20" s="11" t="s">
        <v>150</v>
      </c>
      <c r="O20" s="19" t="s">
        <v>151</v>
      </c>
      <c r="P20" s="1"/>
      <c r="Q20" s="1"/>
      <c r="R20" s="1"/>
      <c r="S20" s="1"/>
      <c r="T20" s="1"/>
      <c r="U20" s="1"/>
      <c r="V20" s="1"/>
      <c r="W20" s="1"/>
      <c r="X20" s="1"/>
      <c r="Y20" s="1"/>
      <c r="Z20" s="1"/>
    </row>
    <row r="21" ht="15.75" customHeight="1">
      <c r="A21" s="1"/>
      <c r="B21" s="10" t="s">
        <v>152</v>
      </c>
      <c r="C21" s="11" t="s">
        <v>153</v>
      </c>
      <c r="D21" s="11" t="s">
        <v>154</v>
      </c>
      <c r="E21" s="11" t="s">
        <v>155</v>
      </c>
      <c r="F21" s="11" t="s">
        <v>41</v>
      </c>
      <c r="G21" s="11" t="s">
        <v>156</v>
      </c>
      <c r="H21" s="11" t="s">
        <v>43</v>
      </c>
      <c r="I21" s="11">
        <v>6.0</v>
      </c>
      <c r="J21" s="12">
        <v>45979.0</v>
      </c>
      <c r="K21" s="11" t="s">
        <v>22</v>
      </c>
      <c r="L21" s="11" t="s">
        <v>23</v>
      </c>
      <c r="M21" s="11" t="s">
        <v>157</v>
      </c>
      <c r="N21" s="11" t="s">
        <v>158</v>
      </c>
      <c r="O21" s="19" t="s">
        <v>159</v>
      </c>
      <c r="P21" s="1"/>
      <c r="Q21" s="1"/>
      <c r="R21" s="1"/>
      <c r="S21" s="1"/>
      <c r="T21" s="1"/>
      <c r="U21" s="1"/>
      <c r="V21" s="1"/>
      <c r="W21" s="1"/>
      <c r="X21" s="1"/>
      <c r="Y21" s="1"/>
      <c r="Z21" s="1"/>
    </row>
    <row r="22" ht="15.75" customHeight="1">
      <c r="A22" s="1"/>
      <c r="B22" s="10" t="s">
        <v>160</v>
      </c>
      <c r="C22" s="11" t="s">
        <v>161</v>
      </c>
      <c r="D22" s="11" t="s">
        <v>162</v>
      </c>
      <c r="E22" s="11" t="s">
        <v>163</v>
      </c>
      <c r="F22" s="11" t="s">
        <v>41</v>
      </c>
      <c r="G22" s="11" t="s">
        <v>164</v>
      </c>
      <c r="H22" s="11" t="s">
        <v>21</v>
      </c>
      <c r="I22" s="11">
        <v>8.0</v>
      </c>
      <c r="J22" s="12">
        <v>45979.0</v>
      </c>
      <c r="K22" s="11" t="s">
        <v>22</v>
      </c>
      <c r="L22" s="11" t="s">
        <v>23</v>
      </c>
      <c r="M22" s="11" t="s">
        <v>165</v>
      </c>
      <c r="N22" s="11" t="s">
        <v>166</v>
      </c>
      <c r="O22" s="19" t="s">
        <v>167</v>
      </c>
      <c r="P22" s="1"/>
      <c r="Q22" s="1"/>
      <c r="R22" s="1"/>
      <c r="S22" s="1"/>
      <c r="T22" s="1"/>
      <c r="U22" s="1"/>
      <c r="V22" s="1"/>
      <c r="W22" s="1"/>
      <c r="X22" s="1"/>
      <c r="Y22" s="1"/>
      <c r="Z22" s="1"/>
    </row>
    <row r="23" ht="15.75" customHeight="1">
      <c r="A23" s="1"/>
      <c r="B23" s="10" t="s">
        <v>168</v>
      </c>
      <c r="C23" s="11" t="s">
        <v>169</v>
      </c>
      <c r="D23" s="11" t="s">
        <v>170</v>
      </c>
      <c r="E23" s="11" t="s">
        <v>171</v>
      </c>
      <c r="F23" s="11" t="s">
        <v>41</v>
      </c>
      <c r="G23" s="11" t="s">
        <v>172</v>
      </c>
      <c r="H23" s="11" t="s">
        <v>21</v>
      </c>
      <c r="I23" s="11">
        <v>4.0</v>
      </c>
      <c r="J23" s="12">
        <v>45979.0</v>
      </c>
      <c r="K23" s="11" t="s">
        <v>22</v>
      </c>
      <c r="L23" s="11" t="s">
        <v>23</v>
      </c>
      <c r="M23" s="13" t="s">
        <v>173</v>
      </c>
      <c r="N23" s="11" t="s">
        <v>174</v>
      </c>
      <c r="O23" s="11" t="s">
        <v>175</v>
      </c>
      <c r="P23" s="1"/>
      <c r="Q23" s="1"/>
      <c r="R23" s="1"/>
      <c r="S23" s="1"/>
      <c r="T23" s="1"/>
      <c r="U23" s="1"/>
      <c r="V23" s="1"/>
      <c r="W23" s="1"/>
      <c r="X23" s="1"/>
      <c r="Y23" s="1"/>
      <c r="Z23" s="1"/>
    </row>
    <row r="24" ht="75.75" customHeight="1">
      <c r="A24" s="1"/>
      <c r="B24" s="10" t="s">
        <v>176</v>
      </c>
      <c r="C24" s="11" t="s">
        <v>177</v>
      </c>
      <c r="D24" s="11" t="s">
        <v>178</v>
      </c>
      <c r="E24" s="11" t="s">
        <v>179</v>
      </c>
      <c r="F24" s="11" t="s">
        <v>41</v>
      </c>
      <c r="G24" s="11" t="s">
        <v>180</v>
      </c>
      <c r="H24" s="11" t="s">
        <v>21</v>
      </c>
      <c r="I24" s="11">
        <v>6.0</v>
      </c>
      <c r="J24" s="12">
        <v>45979.0</v>
      </c>
      <c r="K24" s="11" t="s">
        <v>22</v>
      </c>
      <c r="L24" s="11" t="s">
        <v>23</v>
      </c>
      <c r="M24" s="13" t="s">
        <v>181</v>
      </c>
      <c r="N24" s="11" t="s">
        <v>182</v>
      </c>
      <c r="O24" s="11" t="s">
        <v>183</v>
      </c>
      <c r="P24" s="1"/>
      <c r="Q24" s="1"/>
      <c r="R24" s="1"/>
      <c r="S24" s="1"/>
      <c r="T24" s="1"/>
      <c r="U24" s="1"/>
      <c r="V24" s="1"/>
      <c r="W24" s="1"/>
      <c r="X24" s="1"/>
      <c r="Y24" s="1"/>
      <c r="Z24" s="1"/>
    </row>
    <row r="25" ht="75.75" customHeight="1">
      <c r="A25" s="1"/>
      <c r="B25" s="10" t="s">
        <v>184</v>
      </c>
      <c r="C25" s="11" t="s">
        <v>185</v>
      </c>
      <c r="D25" s="11" t="s">
        <v>186</v>
      </c>
      <c r="E25" s="11" t="s">
        <v>187</v>
      </c>
      <c r="F25" s="11" t="s">
        <v>41</v>
      </c>
      <c r="G25" s="14" t="s">
        <v>188</v>
      </c>
      <c r="H25" s="11" t="s">
        <v>21</v>
      </c>
      <c r="I25" s="11">
        <v>3.0</v>
      </c>
      <c r="J25" s="12">
        <v>45979.0</v>
      </c>
      <c r="K25" s="11" t="s">
        <v>22</v>
      </c>
      <c r="L25" s="11" t="s">
        <v>23</v>
      </c>
      <c r="M25" s="13" t="s">
        <v>189</v>
      </c>
      <c r="N25" s="11" t="s">
        <v>190</v>
      </c>
      <c r="O25" s="11" t="s">
        <v>191</v>
      </c>
      <c r="P25" s="1"/>
      <c r="Q25" s="1"/>
      <c r="R25" s="1"/>
      <c r="S25" s="1"/>
      <c r="T25" s="1"/>
      <c r="U25" s="1"/>
      <c r="V25" s="1"/>
      <c r="W25" s="1"/>
      <c r="X25" s="1"/>
      <c r="Y25" s="1"/>
      <c r="Z25" s="1"/>
    </row>
    <row r="26" ht="75.75" customHeight="1">
      <c r="A26" s="1"/>
      <c r="B26" s="10" t="s">
        <v>192</v>
      </c>
      <c r="C26" s="11" t="s">
        <v>193</v>
      </c>
      <c r="D26" s="11" t="s">
        <v>194</v>
      </c>
      <c r="E26" s="11" t="s">
        <v>195</v>
      </c>
      <c r="F26" s="11" t="s">
        <v>41</v>
      </c>
      <c r="G26" s="14" t="s">
        <v>196</v>
      </c>
      <c r="H26" s="11" t="s">
        <v>21</v>
      </c>
      <c r="I26" s="11">
        <v>3.0</v>
      </c>
      <c r="J26" s="12">
        <v>45979.0</v>
      </c>
      <c r="K26" s="11" t="s">
        <v>22</v>
      </c>
      <c r="L26" s="11" t="s">
        <v>23</v>
      </c>
      <c r="M26" s="13" t="s">
        <v>197</v>
      </c>
      <c r="N26" s="11" t="s">
        <v>198</v>
      </c>
      <c r="O26" s="11" t="s">
        <v>199</v>
      </c>
      <c r="P26" s="1"/>
      <c r="Q26" s="1"/>
      <c r="R26" s="1"/>
      <c r="S26" s="1"/>
      <c r="T26" s="1"/>
      <c r="U26" s="1"/>
      <c r="V26" s="1"/>
      <c r="W26" s="1"/>
      <c r="X26" s="1"/>
      <c r="Y26" s="1"/>
      <c r="Z26" s="1"/>
    </row>
    <row r="27" ht="75.75" customHeight="1">
      <c r="A27" s="1"/>
      <c r="B27" s="10" t="s">
        <v>200</v>
      </c>
      <c r="C27" s="11" t="s">
        <v>201</v>
      </c>
      <c r="D27" s="14" t="s">
        <v>202</v>
      </c>
      <c r="E27" s="11" t="s">
        <v>203</v>
      </c>
      <c r="F27" s="11" t="s">
        <v>41</v>
      </c>
      <c r="G27" s="14" t="s">
        <v>204</v>
      </c>
      <c r="H27" s="11" t="s">
        <v>21</v>
      </c>
      <c r="I27" s="11">
        <v>4.0</v>
      </c>
      <c r="J27" s="12">
        <v>45979.0</v>
      </c>
      <c r="K27" s="11" t="s">
        <v>22</v>
      </c>
      <c r="L27" s="11" t="s">
        <v>23</v>
      </c>
      <c r="M27" s="13" t="s">
        <v>205</v>
      </c>
      <c r="N27" s="11" t="s">
        <v>206</v>
      </c>
      <c r="O27" s="11" t="s">
        <v>207</v>
      </c>
      <c r="P27" s="1"/>
      <c r="Q27" s="1"/>
      <c r="R27" s="1"/>
      <c r="S27" s="1"/>
      <c r="T27" s="1"/>
      <c r="U27" s="1"/>
      <c r="V27" s="1"/>
      <c r="W27" s="1"/>
      <c r="X27" s="1"/>
      <c r="Y27" s="1"/>
      <c r="Z27" s="1"/>
    </row>
    <row r="28">
      <c r="A28" s="1"/>
      <c r="B28" s="10" t="s">
        <v>208</v>
      </c>
      <c r="C28" s="11" t="s">
        <v>209</v>
      </c>
      <c r="D28" s="14" t="s">
        <v>210</v>
      </c>
      <c r="E28" s="11" t="s">
        <v>211</v>
      </c>
      <c r="F28" s="11" t="s">
        <v>41</v>
      </c>
      <c r="G28" s="14" t="s">
        <v>212</v>
      </c>
      <c r="H28" s="11" t="s">
        <v>33</v>
      </c>
      <c r="I28" s="11">
        <v>4.0</v>
      </c>
      <c r="J28" s="12">
        <v>45979.0</v>
      </c>
      <c r="K28" s="11" t="s">
        <v>22</v>
      </c>
      <c r="L28" s="11" t="s">
        <v>23</v>
      </c>
      <c r="M28" s="13" t="s">
        <v>213</v>
      </c>
      <c r="N28" s="11" t="s">
        <v>214</v>
      </c>
      <c r="O28" s="11" t="s">
        <v>215</v>
      </c>
      <c r="P28" s="1"/>
      <c r="Q28" s="1"/>
      <c r="R28" s="1"/>
      <c r="S28" s="1"/>
      <c r="T28" s="1"/>
      <c r="U28" s="1"/>
      <c r="V28" s="1"/>
      <c r="W28" s="1"/>
      <c r="X28" s="1"/>
      <c r="Y28" s="1"/>
      <c r="Z28" s="1"/>
    </row>
    <row r="29" ht="75.75" customHeight="1">
      <c r="A29" s="1"/>
      <c r="B29" s="10" t="s">
        <v>216</v>
      </c>
      <c r="C29" s="11" t="s">
        <v>217</v>
      </c>
      <c r="D29" s="14" t="s">
        <v>218</v>
      </c>
      <c r="E29" s="11" t="s">
        <v>219</v>
      </c>
      <c r="F29" s="11" t="s">
        <v>41</v>
      </c>
      <c r="G29" s="14" t="s">
        <v>220</v>
      </c>
      <c r="H29" s="11" t="s">
        <v>43</v>
      </c>
      <c r="I29" s="11">
        <v>4.0</v>
      </c>
      <c r="J29" s="12">
        <v>45979.0</v>
      </c>
      <c r="K29" s="11" t="s">
        <v>221</v>
      </c>
      <c r="L29" s="11" t="s">
        <v>23</v>
      </c>
      <c r="M29" s="13" t="s">
        <v>222</v>
      </c>
      <c r="N29" s="11" t="s">
        <v>223</v>
      </c>
      <c r="O29" s="11" t="s">
        <v>224</v>
      </c>
      <c r="P29" s="1"/>
      <c r="Q29" s="1"/>
      <c r="R29" s="1"/>
      <c r="S29" s="1"/>
      <c r="T29" s="1"/>
      <c r="U29" s="1"/>
      <c r="V29" s="1"/>
      <c r="W29" s="1"/>
      <c r="X29" s="1"/>
      <c r="Y29" s="1"/>
      <c r="Z29" s="1"/>
    </row>
    <row r="30" ht="75.75" customHeight="1">
      <c r="A30" s="1"/>
      <c r="B30" s="10" t="s">
        <v>225</v>
      </c>
      <c r="C30" s="11" t="s">
        <v>226</v>
      </c>
      <c r="D30" s="19" t="s">
        <v>227</v>
      </c>
      <c r="E30" s="11" t="s">
        <v>228</v>
      </c>
      <c r="F30" s="11" t="s">
        <v>41</v>
      </c>
      <c r="G30" s="14" t="s">
        <v>229</v>
      </c>
      <c r="H30" s="11" t="s">
        <v>43</v>
      </c>
      <c r="I30" s="11">
        <v>4.0</v>
      </c>
      <c r="J30" s="12">
        <v>45979.0</v>
      </c>
      <c r="K30" s="11" t="s">
        <v>221</v>
      </c>
      <c r="L30" s="11" t="s">
        <v>23</v>
      </c>
      <c r="M30" s="13" t="s">
        <v>230</v>
      </c>
      <c r="N30" s="11" t="s">
        <v>231</v>
      </c>
      <c r="O30" s="11" t="s">
        <v>232</v>
      </c>
      <c r="P30" s="1"/>
      <c r="Q30" s="1"/>
      <c r="R30" s="1"/>
      <c r="S30" s="1"/>
      <c r="T30" s="1"/>
      <c r="U30" s="1"/>
      <c r="V30" s="1"/>
      <c r="W30" s="1"/>
      <c r="X30" s="1"/>
      <c r="Y30" s="1"/>
      <c r="Z30" s="1"/>
    </row>
    <row r="31" ht="19.5" customHeight="1">
      <c r="A31" s="1"/>
      <c r="B31" s="1"/>
      <c r="C31" s="1"/>
      <c r="D31" s="1"/>
      <c r="E31" s="1"/>
      <c r="F31" s="1"/>
      <c r="G31" s="1"/>
      <c r="H31" s="1"/>
      <c r="I31" s="2"/>
      <c r="J31" s="2"/>
      <c r="K31" s="21"/>
      <c r="L31" s="2"/>
      <c r="M31" s="1"/>
      <c r="N31" s="1"/>
      <c r="O31" s="1"/>
      <c r="P31" s="1"/>
      <c r="Q31" s="1"/>
      <c r="R31" s="1"/>
      <c r="S31" s="1"/>
      <c r="T31" s="1"/>
      <c r="U31" s="1"/>
      <c r="V31" s="1"/>
      <c r="W31" s="1"/>
      <c r="X31" s="1"/>
      <c r="Y31" s="1"/>
      <c r="Z31" s="1"/>
    </row>
    <row r="32" ht="19.5" customHeight="1">
      <c r="A32" s="1"/>
      <c r="B32" s="1"/>
      <c r="C32" s="1"/>
      <c r="D32" s="1"/>
      <c r="E32" s="1"/>
      <c r="F32" s="1"/>
      <c r="G32" s="1"/>
      <c r="H32" s="1"/>
      <c r="I32" s="2"/>
      <c r="J32" s="2"/>
      <c r="K32" s="21"/>
      <c r="L32" s="2"/>
      <c r="M32" s="1"/>
      <c r="N32" s="1"/>
      <c r="O32" s="1"/>
      <c r="P32" s="1"/>
      <c r="Q32" s="1"/>
      <c r="R32" s="1"/>
      <c r="S32" s="1"/>
      <c r="T32" s="1"/>
      <c r="U32" s="1"/>
      <c r="V32" s="1"/>
      <c r="W32" s="1"/>
      <c r="X32" s="1"/>
      <c r="Y32" s="1"/>
      <c r="Z32" s="1"/>
    </row>
    <row r="33" ht="19.5" customHeight="1">
      <c r="A33" s="1"/>
      <c r="B33" s="1"/>
      <c r="C33" s="1"/>
      <c r="D33" s="1"/>
      <c r="E33" s="1"/>
      <c r="F33" s="1"/>
      <c r="G33" s="1"/>
      <c r="H33" s="1"/>
      <c r="I33" s="2"/>
      <c r="J33" s="2"/>
      <c r="K33" s="1"/>
      <c r="L33" s="2"/>
      <c r="M33" s="1"/>
      <c r="N33" s="1"/>
      <c r="O33" s="1"/>
      <c r="P33" s="1"/>
      <c r="Q33" s="1"/>
      <c r="R33" s="1"/>
      <c r="S33" s="1"/>
      <c r="T33" s="1"/>
      <c r="U33" s="1"/>
      <c r="V33" s="1"/>
      <c r="W33" s="1"/>
      <c r="X33" s="1"/>
      <c r="Y33" s="1"/>
      <c r="Z33" s="1"/>
    </row>
    <row r="34" ht="19.5" customHeight="1">
      <c r="A34" s="1"/>
      <c r="B34" s="1"/>
      <c r="C34" s="1"/>
      <c r="D34" s="1"/>
      <c r="E34" s="1"/>
      <c r="F34" s="1"/>
      <c r="G34" s="1"/>
      <c r="H34" s="1"/>
      <c r="I34" s="2"/>
      <c r="J34" s="1"/>
      <c r="K34" s="1"/>
      <c r="L34" s="1"/>
      <c r="M34" s="1"/>
      <c r="N34" s="1"/>
      <c r="O34" s="1"/>
      <c r="P34" s="1"/>
      <c r="Q34" s="1"/>
      <c r="R34" s="1"/>
      <c r="S34" s="1"/>
      <c r="T34" s="1"/>
      <c r="U34" s="1"/>
      <c r="V34" s="1"/>
      <c r="W34" s="1"/>
      <c r="X34" s="1"/>
      <c r="Y34" s="1"/>
      <c r="Z34" s="1"/>
    </row>
    <row r="35" ht="19.5" customHeight="1">
      <c r="A35" s="1"/>
      <c r="B35" s="1"/>
      <c r="C35" s="1"/>
      <c r="D35" s="1"/>
      <c r="E35" s="1"/>
      <c r="F35" s="1"/>
      <c r="G35" s="1"/>
      <c r="H35" s="2"/>
      <c r="I35" s="1"/>
      <c r="J35" s="1"/>
      <c r="K35" s="1"/>
      <c r="L35" s="1"/>
      <c r="M35" s="1"/>
      <c r="N35" s="1"/>
      <c r="O35" s="1"/>
      <c r="P35" s="1"/>
      <c r="Q35" s="1"/>
      <c r="R35" s="1"/>
      <c r="S35" s="1"/>
      <c r="T35" s="1"/>
      <c r="U35" s="1"/>
      <c r="V35" s="1"/>
      <c r="W35" s="1"/>
      <c r="X35" s="1"/>
      <c r="Y35" s="1"/>
    </row>
    <row r="36" ht="19.5" customHeight="1">
      <c r="A36" s="1"/>
      <c r="B36" s="1"/>
      <c r="C36" s="1"/>
      <c r="D36" s="1"/>
      <c r="E36" s="1"/>
      <c r="F36" s="1"/>
      <c r="G36" s="1"/>
      <c r="H36" s="2"/>
      <c r="I36" s="1"/>
      <c r="J36" s="22" t="s">
        <v>22</v>
      </c>
      <c r="K36" s="1" t="s">
        <v>23</v>
      </c>
      <c r="L36" s="1"/>
      <c r="M36" s="1"/>
      <c r="N36" s="1"/>
      <c r="O36" s="1"/>
      <c r="P36" s="1"/>
      <c r="Q36" s="1"/>
      <c r="R36" s="1"/>
      <c r="S36" s="1"/>
      <c r="T36" s="1"/>
      <c r="U36" s="1"/>
      <c r="V36" s="1"/>
      <c r="W36" s="1"/>
      <c r="X36" s="1"/>
      <c r="Y36" s="1"/>
    </row>
    <row r="37" ht="19.5" customHeight="1">
      <c r="A37" s="1"/>
      <c r="B37" s="1"/>
      <c r="C37" s="1"/>
      <c r="D37" s="1"/>
      <c r="E37" s="1"/>
      <c r="F37" s="1"/>
      <c r="G37" s="1"/>
      <c r="H37" s="2"/>
      <c r="I37" s="1"/>
      <c r="J37" s="22" t="s">
        <v>221</v>
      </c>
      <c r="K37" s="1" t="s">
        <v>44</v>
      </c>
      <c r="L37" s="1"/>
      <c r="M37" s="1"/>
      <c r="N37" s="1"/>
      <c r="O37" s="1"/>
      <c r="P37" s="1"/>
      <c r="Q37" s="1"/>
      <c r="R37" s="1"/>
      <c r="S37" s="1"/>
      <c r="T37" s="1"/>
      <c r="U37" s="1"/>
      <c r="V37" s="1"/>
      <c r="W37" s="1"/>
      <c r="X37" s="1"/>
      <c r="Y37" s="1"/>
    </row>
    <row r="38" ht="19.5" customHeight="1">
      <c r="A38" s="1"/>
      <c r="B38" s="1"/>
      <c r="C38" s="1"/>
      <c r="D38" s="1"/>
      <c r="E38" s="1"/>
      <c r="F38" s="1"/>
      <c r="G38" s="1"/>
      <c r="H38" s="2"/>
      <c r="I38" s="1"/>
      <c r="J38" s="1"/>
      <c r="K38" s="1" t="s">
        <v>233</v>
      </c>
      <c r="L38" s="1"/>
      <c r="M38" s="1"/>
      <c r="N38" s="1"/>
      <c r="O38" s="1"/>
      <c r="P38" s="1"/>
      <c r="Q38" s="1"/>
      <c r="R38" s="1"/>
      <c r="S38" s="1"/>
      <c r="T38" s="1"/>
      <c r="U38" s="1"/>
      <c r="V38" s="1"/>
      <c r="W38" s="1"/>
      <c r="X38" s="1"/>
      <c r="Y38" s="1"/>
    </row>
    <row r="39" ht="19.5" customHeight="1">
      <c r="A39" s="1"/>
      <c r="B39" s="1"/>
      <c r="C39" s="1"/>
      <c r="D39" s="1"/>
      <c r="E39" s="1"/>
      <c r="F39" s="1"/>
      <c r="G39" s="1"/>
      <c r="H39" s="2"/>
      <c r="I39" s="1"/>
      <c r="J39" s="1"/>
      <c r="K39" s="1" t="s">
        <v>234</v>
      </c>
      <c r="L39" s="1"/>
      <c r="M39" s="1"/>
      <c r="N39" s="1"/>
      <c r="O39" s="1"/>
      <c r="P39" s="1"/>
      <c r="Q39" s="1"/>
      <c r="R39" s="1"/>
      <c r="S39" s="1"/>
      <c r="T39" s="1"/>
      <c r="U39" s="1"/>
      <c r="V39" s="1"/>
      <c r="W39" s="1"/>
      <c r="X39" s="1"/>
      <c r="Y39" s="1"/>
    </row>
    <row r="40" ht="19.5" customHeight="1">
      <c r="A40" s="1"/>
      <c r="B40" s="1"/>
      <c r="C40" s="1"/>
      <c r="D40" s="1"/>
      <c r="E40" s="1"/>
      <c r="F40" s="1"/>
      <c r="G40" s="1"/>
      <c r="H40" s="1"/>
      <c r="I40" s="2"/>
      <c r="J40" s="1"/>
      <c r="K40" s="1"/>
      <c r="L40" s="1"/>
      <c r="M40" s="1"/>
      <c r="N40" s="1"/>
      <c r="O40" s="1"/>
      <c r="P40" s="1"/>
      <c r="Q40" s="1"/>
      <c r="R40" s="1"/>
      <c r="S40" s="1"/>
      <c r="T40" s="1"/>
      <c r="U40" s="1"/>
      <c r="V40" s="1"/>
      <c r="W40" s="1"/>
      <c r="X40" s="1"/>
      <c r="Y40" s="1"/>
      <c r="Z40" s="1"/>
    </row>
    <row r="41" ht="19.5" customHeight="1">
      <c r="A41" s="1"/>
      <c r="B41" s="1"/>
      <c r="C41" s="1"/>
      <c r="D41" s="1"/>
      <c r="E41" s="1"/>
      <c r="F41" s="1"/>
      <c r="G41" s="1"/>
      <c r="H41" s="1"/>
      <c r="I41" s="2"/>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2"/>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2"/>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2"/>
      <c r="J44" s="2"/>
      <c r="K44" s="1"/>
      <c r="L44" s="2"/>
      <c r="M44" s="1"/>
      <c r="N44" s="1"/>
      <c r="O44" s="1"/>
      <c r="P44" s="1"/>
      <c r="Q44" s="1"/>
      <c r="R44" s="1"/>
      <c r="S44" s="1"/>
      <c r="T44" s="1"/>
      <c r="U44" s="1"/>
      <c r="V44" s="1"/>
      <c r="W44" s="1"/>
      <c r="X44" s="1"/>
      <c r="Y44" s="1"/>
      <c r="Z44" s="1"/>
    </row>
    <row r="45" ht="15.75" customHeight="1">
      <c r="A45" s="1"/>
      <c r="B45" s="1"/>
      <c r="C45" s="1"/>
      <c r="D45" s="1"/>
      <c r="E45" s="1"/>
      <c r="F45" s="1"/>
      <c r="G45" s="1"/>
      <c r="H45" s="1"/>
      <c r="I45" s="2"/>
      <c r="J45" s="2"/>
      <c r="K45" s="1"/>
      <c r="L45" s="2"/>
      <c r="M45" s="1"/>
      <c r="N45" s="1"/>
      <c r="O45" s="1"/>
      <c r="P45" s="1"/>
      <c r="Q45" s="1"/>
      <c r="R45" s="1"/>
      <c r="S45" s="1"/>
      <c r="T45" s="1"/>
      <c r="U45" s="1"/>
      <c r="V45" s="1"/>
      <c r="W45" s="1"/>
      <c r="X45" s="1"/>
      <c r="Y45" s="1"/>
      <c r="Z45" s="1"/>
    </row>
    <row r="46" ht="15.75" customHeight="1">
      <c r="A46" s="1"/>
      <c r="B46" s="1"/>
      <c r="C46" s="1"/>
      <c r="D46" s="1"/>
      <c r="E46" s="1"/>
      <c r="F46" s="1"/>
      <c r="G46" s="1"/>
      <c r="H46" s="1"/>
      <c r="I46" s="2"/>
      <c r="J46" s="2"/>
      <c r="K46" s="1"/>
      <c r="L46" s="2"/>
      <c r="M46" s="1"/>
      <c r="N46" s="1"/>
      <c r="O46" s="1"/>
      <c r="P46" s="1"/>
      <c r="Q46" s="1"/>
      <c r="R46" s="1"/>
      <c r="S46" s="1"/>
      <c r="T46" s="1"/>
      <c r="U46" s="1"/>
      <c r="V46" s="1"/>
      <c r="W46" s="1"/>
      <c r="X46" s="1"/>
      <c r="Y46" s="1"/>
      <c r="Z46" s="1"/>
    </row>
    <row r="47" ht="15.75" customHeight="1">
      <c r="A47" s="1"/>
      <c r="B47" s="1"/>
      <c r="C47" s="1"/>
      <c r="D47" s="1"/>
      <c r="E47" s="1"/>
      <c r="F47" s="1"/>
      <c r="G47" s="1"/>
      <c r="H47" s="1"/>
      <c r="I47" s="2"/>
      <c r="J47" s="2"/>
      <c r="K47" s="1"/>
      <c r="L47" s="2"/>
      <c r="M47" s="1"/>
      <c r="N47" s="1"/>
      <c r="O47" s="1"/>
      <c r="P47" s="1"/>
      <c r="Q47" s="1"/>
      <c r="R47" s="1"/>
      <c r="S47" s="1"/>
      <c r="T47" s="1"/>
      <c r="U47" s="1"/>
      <c r="V47" s="1"/>
      <c r="W47" s="1"/>
      <c r="X47" s="1"/>
      <c r="Y47" s="1"/>
      <c r="Z47" s="1"/>
    </row>
    <row r="48" ht="15.75" customHeight="1">
      <c r="A48" s="1"/>
      <c r="B48" s="1"/>
      <c r="C48" s="1"/>
      <c r="D48" s="1"/>
      <c r="E48" s="1"/>
      <c r="F48" s="1"/>
      <c r="G48" s="1"/>
      <c r="H48" s="1"/>
      <c r="I48" s="2"/>
      <c r="J48" s="2"/>
      <c r="K48" s="1"/>
      <c r="L48" s="2"/>
      <c r="M48" s="1"/>
      <c r="N48" s="1"/>
      <c r="O48" s="1"/>
      <c r="P48" s="1"/>
      <c r="Q48" s="1"/>
      <c r="R48" s="1"/>
      <c r="S48" s="1"/>
      <c r="T48" s="1"/>
      <c r="U48" s="1"/>
      <c r="V48" s="1"/>
      <c r="W48" s="1"/>
      <c r="X48" s="1"/>
      <c r="Y48" s="1"/>
      <c r="Z48" s="1"/>
    </row>
    <row r="49" ht="15.75" customHeight="1">
      <c r="A49" s="1"/>
      <c r="B49" s="1"/>
      <c r="C49" s="1"/>
      <c r="D49" s="1"/>
      <c r="E49" s="1"/>
      <c r="F49" s="1"/>
      <c r="G49" s="1"/>
      <c r="H49" s="1"/>
      <c r="I49" s="2"/>
      <c r="J49" s="2"/>
      <c r="K49" s="1"/>
      <c r="L49" s="2"/>
      <c r="M49" s="1"/>
      <c r="N49" s="1"/>
      <c r="O49" s="1"/>
      <c r="P49" s="1"/>
      <c r="Q49" s="1"/>
      <c r="R49" s="1"/>
      <c r="S49" s="1"/>
      <c r="T49" s="1"/>
      <c r="U49" s="1"/>
      <c r="V49" s="1"/>
      <c r="W49" s="1"/>
      <c r="X49" s="1"/>
      <c r="Y49" s="1"/>
      <c r="Z49" s="1"/>
    </row>
    <row r="50" ht="15.75" customHeight="1">
      <c r="A50" s="1"/>
      <c r="B50" s="1"/>
      <c r="C50" s="1"/>
      <c r="D50" s="1"/>
      <c r="E50" s="1"/>
      <c r="F50" s="1"/>
      <c r="G50" s="1"/>
      <c r="H50" s="1"/>
      <c r="I50" s="2"/>
      <c r="J50" s="2"/>
      <c r="K50" s="1"/>
      <c r="L50" s="2"/>
      <c r="M50" s="1"/>
      <c r="N50" s="1"/>
      <c r="O50" s="1"/>
      <c r="P50" s="1"/>
      <c r="Q50" s="1"/>
      <c r="R50" s="1"/>
      <c r="S50" s="1"/>
      <c r="T50" s="1"/>
      <c r="U50" s="1"/>
      <c r="V50" s="1"/>
      <c r="W50" s="1"/>
      <c r="X50" s="1"/>
      <c r="Y50" s="1"/>
      <c r="Z50" s="1"/>
    </row>
    <row r="51" ht="15.75" customHeight="1">
      <c r="A51" s="1"/>
      <c r="B51" s="1"/>
      <c r="C51" s="1"/>
      <c r="D51" s="1"/>
      <c r="E51" s="1"/>
      <c r="F51" s="1"/>
      <c r="G51" s="1"/>
      <c r="H51" s="1"/>
      <c r="I51" s="2"/>
      <c r="J51" s="2"/>
      <c r="K51" s="1"/>
      <c r="L51" s="2"/>
      <c r="M51" s="1"/>
      <c r="N51" s="1"/>
      <c r="O51" s="1"/>
      <c r="P51" s="1"/>
      <c r="Q51" s="1"/>
      <c r="R51" s="1"/>
      <c r="S51" s="1"/>
      <c r="T51" s="1"/>
      <c r="U51" s="1"/>
      <c r="V51" s="1"/>
      <c r="W51" s="1"/>
      <c r="X51" s="1"/>
      <c r="Y51" s="1"/>
      <c r="Z51" s="1"/>
    </row>
    <row r="52" ht="15.75" customHeight="1">
      <c r="A52" s="1"/>
      <c r="B52" s="1"/>
      <c r="C52" s="1"/>
      <c r="D52" s="1"/>
      <c r="E52" s="1"/>
      <c r="F52" s="1"/>
      <c r="G52" s="1"/>
      <c r="H52" s="1"/>
      <c r="I52" s="2"/>
      <c r="J52" s="2"/>
      <c r="K52" s="1"/>
      <c r="L52" s="2"/>
      <c r="M52" s="1"/>
      <c r="N52" s="1"/>
      <c r="O52" s="1"/>
      <c r="P52" s="1"/>
      <c r="Q52" s="1"/>
      <c r="R52" s="1"/>
      <c r="S52" s="1"/>
      <c r="T52" s="1"/>
      <c r="U52" s="1"/>
      <c r="V52" s="1"/>
      <c r="W52" s="1"/>
      <c r="X52" s="1"/>
      <c r="Y52" s="1"/>
      <c r="Z52" s="1"/>
    </row>
    <row r="53" ht="15.75" customHeight="1">
      <c r="A53" s="1"/>
      <c r="B53" s="1"/>
      <c r="C53" s="1"/>
      <c r="D53" s="1"/>
      <c r="E53" s="1"/>
      <c r="F53" s="1"/>
      <c r="G53" s="1"/>
      <c r="H53" s="1"/>
      <c r="I53" s="2"/>
      <c r="J53" s="2"/>
      <c r="K53" s="1"/>
      <c r="L53" s="2"/>
      <c r="M53" s="1"/>
      <c r="N53" s="1"/>
      <c r="O53" s="1"/>
      <c r="P53" s="1"/>
      <c r="Q53" s="1"/>
      <c r="R53" s="1"/>
      <c r="S53" s="1"/>
      <c r="T53" s="1"/>
      <c r="U53" s="1"/>
      <c r="V53" s="1"/>
      <c r="W53" s="1"/>
      <c r="X53" s="1"/>
      <c r="Y53" s="1"/>
      <c r="Z53" s="1"/>
    </row>
    <row r="54" ht="15.75" customHeight="1">
      <c r="A54" s="1"/>
      <c r="B54" s="1"/>
      <c r="C54" s="1"/>
      <c r="D54" s="1"/>
      <c r="E54" s="1"/>
      <c r="F54" s="1"/>
      <c r="G54" s="1"/>
      <c r="H54" s="1"/>
      <c r="I54" s="2"/>
      <c r="J54" s="2"/>
      <c r="K54" s="1"/>
      <c r="L54" s="2"/>
      <c r="M54" s="1"/>
      <c r="N54" s="1"/>
      <c r="O54" s="1"/>
      <c r="P54" s="1"/>
      <c r="Q54" s="1"/>
      <c r="R54" s="1"/>
      <c r="S54" s="1"/>
      <c r="T54" s="1"/>
      <c r="U54" s="1"/>
      <c r="V54" s="1"/>
      <c r="W54" s="1"/>
      <c r="X54" s="1"/>
      <c r="Y54" s="1"/>
      <c r="Z54" s="1"/>
    </row>
    <row r="55" ht="15.75" customHeight="1">
      <c r="A55" s="1"/>
      <c r="B55" s="1"/>
      <c r="C55" s="1"/>
      <c r="D55" s="1"/>
      <c r="E55" s="1"/>
      <c r="F55" s="1"/>
      <c r="G55" s="1"/>
      <c r="H55" s="1"/>
      <c r="I55" s="2"/>
      <c r="J55" s="2"/>
      <c r="K55" s="1"/>
      <c r="L55" s="2"/>
      <c r="M55" s="1"/>
      <c r="N55" s="1"/>
      <c r="O55" s="1"/>
      <c r="P55" s="1"/>
      <c r="Q55" s="1"/>
      <c r="R55" s="1"/>
      <c r="S55" s="1"/>
      <c r="T55" s="1"/>
      <c r="U55" s="1"/>
      <c r="V55" s="1"/>
      <c r="W55" s="1"/>
      <c r="X55" s="1"/>
      <c r="Y55" s="1"/>
      <c r="Z55" s="1"/>
    </row>
    <row r="56" ht="15.75" customHeight="1">
      <c r="A56" s="1"/>
      <c r="B56" s="1"/>
      <c r="C56" s="1"/>
      <c r="D56" s="1"/>
      <c r="E56" s="1"/>
      <c r="F56" s="1"/>
      <c r="G56" s="1"/>
      <c r="H56" s="1"/>
      <c r="I56" s="2"/>
      <c r="J56" s="2"/>
      <c r="K56" s="1"/>
      <c r="L56" s="2"/>
      <c r="M56" s="1"/>
      <c r="N56" s="1"/>
      <c r="O56" s="1"/>
      <c r="P56" s="1"/>
      <c r="Q56" s="1"/>
      <c r="R56" s="1"/>
      <c r="S56" s="1"/>
      <c r="T56" s="1"/>
      <c r="U56" s="1"/>
      <c r="V56" s="1"/>
      <c r="W56" s="1"/>
      <c r="X56" s="1"/>
      <c r="Y56" s="1"/>
      <c r="Z56" s="1"/>
    </row>
    <row r="57" ht="15.75" customHeight="1">
      <c r="A57" s="1"/>
      <c r="B57" s="1"/>
      <c r="C57" s="1"/>
      <c r="D57" s="1"/>
      <c r="E57" s="1"/>
      <c r="F57" s="1"/>
      <c r="G57" s="1"/>
      <c r="H57" s="1"/>
      <c r="I57" s="2"/>
      <c r="J57" s="2"/>
      <c r="K57" s="1"/>
      <c r="L57" s="2"/>
      <c r="M57" s="1"/>
      <c r="N57" s="1"/>
      <c r="O57" s="1"/>
      <c r="P57" s="1"/>
      <c r="Q57" s="1"/>
      <c r="R57" s="1"/>
      <c r="S57" s="1"/>
      <c r="T57" s="1"/>
      <c r="U57" s="1"/>
      <c r="V57" s="1"/>
      <c r="W57" s="1"/>
      <c r="X57" s="1"/>
      <c r="Y57" s="1"/>
      <c r="Z57" s="1"/>
    </row>
    <row r="58" ht="15.75" customHeight="1">
      <c r="A58" s="1"/>
      <c r="B58" s="1"/>
      <c r="C58" s="1"/>
      <c r="D58" s="1"/>
      <c r="E58" s="1"/>
      <c r="F58" s="1"/>
      <c r="G58" s="1"/>
      <c r="H58" s="1"/>
      <c r="I58" s="2"/>
      <c r="J58" s="2"/>
      <c r="K58" s="1"/>
      <c r="L58" s="2"/>
      <c r="M58" s="1"/>
      <c r="N58" s="1"/>
      <c r="O58" s="1"/>
      <c r="P58" s="1"/>
      <c r="Q58" s="1"/>
      <c r="R58" s="1"/>
      <c r="S58" s="1"/>
      <c r="T58" s="1"/>
      <c r="U58" s="1"/>
      <c r="V58" s="1"/>
      <c r="W58" s="1"/>
      <c r="X58" s="1"/>
      <c r="Y58" s="1"/>
      <c r="Z58" s="1"/>
    </row>
    <row r="59" ht="15.75" customHeight="1">
      <c r="A59" s="1"/>
      <c r="B59" s="1"/>
      <c r="C59" s="1"/>
      <c r="D59" s="1"/>
      <c r="E59" s="1"/>
      <c r="F59" s="1"/>
      <c r="G59" s="1"/>
      <c r="H59" s="1"/>
      <c r="I59" s="2"/>
      <c r="J59" s="2"/>
      <c r="K59" s="1"/>
      <c r="L59" s="2"/>
      <c r="M59" s="1"/>
      <c r="N59" s="1"/>
      <c r="O59" s="1"/>
      <c r="P59" s="1"/>
      <c r="Q59" s="1"/>
      <c r="R59" s="1"/>
      <c r="S59" s="1"/>
      <c r="T59" s="1"/>
      <c r="U59" s="1"/>
      <c r="V59" s="1"/>
      <c r="W59" s="1"/>
      <c r="X59" s="1"/>
      <c r="Y59" s="1"/>
      <c r="Z59" s="1"/>
    </row>
    <row r="60" ht="15.75" customHeight="1">
      <c r="A60" s="1"/>
      <c r="B60" s="1"/>
      <c r="C60" s="1"/>
      <c r="D60" s="1"/>
      <c r="E60" s="1"/>
      <c r="F60" s="1"/>
      <c r="G60" s="1"/>
      <c r="H60" s="1"/>
      <c r="I60" s="2"/>
      <c r="J60" s="2"/>
      <c r="K60" s="1"/>
      <c r="L60" s="2"/>
      <c r="M60" s="1"/>
      <c r="N60" s="1"/>
      <c r="O60" s="1"/>
      <c r="P60" s="1"/>
      <c r="Q60" s="1"/>
      <c r="R60" s="1"/>
      <c r="S60" s="1"/>
      <c r="T60" s="1"/>
      <c r="U60" s="1"/>
      <c r="V60" s="1"/>
      <c r="W60" s="1"/>
      <c r="X60" s="1"/>
      <c r="Y60" s="1"/>
      <c r="Z60" s="1"/>
    </row>
    <row r="61" ht="15.75" customHeight="1">
      <c r="A61" s="1"/>
      <c r="B61" s="1"/>
      <c r="C61" s="1"/>
      <c r="D61" s="1"/>
      <c r="E61" s="1"/>
      <c r="F61" s="1"/>
      <c r="G61" s="1"/>
      <c r="H61" s="1"/>
      <c r="I61" s="2"/>
      <c r="J61" s="2"/>
      <c r="K61" s="1"/>
      <c r="L61" s="2"/>
      <c r="M61" s="1"/>
      <c r="N61" s="1"/>
      <c r="O61" s="1"/>
      <c r="P61" s="1"/>
      <c r="Q61" s="1"/>
      <c r="R61" s="1"/>
      <c r="S61" s="1"/>
      <c r="T61" s="1"/>
      <c r="U61" s="1"/>
      <c r="V61" s="1"/>
      <c r="W61" s="1"/>
      <c r="X61" s="1"/>
      <c r="Y61" s="1"/>
      <c r="Z61" s="1"/>
    </row>
    <row r="62" ht="15.75" customHeight="1">
      <c r="A62" s="1"/>
      <c r="B62" s="1"/>
      <c r="C62" s="1"/>
      <c r="D62" s="1"/>
      <c r="E62" s="1"/>
      <c r="F62" s="1"/>
      <c r="G62" s="1"/>
      <c r="H62" s="1"/>
      <c r="I62" s="2"/>
      <c r="J62" s="2"/>
      <c r="K62" s="1"/>
      <c r="L62" s="2"/>
      <c r="M62" s="1"/>
      <c r="N62" s="1"/>
      <c r="O62" s="1"/>
      <c r="P62" s="1"/>
      <c r="Q62" s="1"/>
      <c r="R62" s="1"/>
      <c r="S62" s="1"/>
      <c r="T62" s="1"/>
      <c r="U62" s="1"/>
      <c r="V62" s="1"/>
      <c r="W62" s="1"/>
      <c r="X62" s="1"/>
      <c r="Y62" s="1"/>
      <c r="Z62" s="1"/>
    </row>
    <row r="63" ht="15.75" customHeight="1">
      <c r="A63" s="1"/>
      <c r="B63" s="1"/>
      <c r="C63" s="1"/>
      <c r="D63" s="1"/>
      <c r="E63" s="1"/>
      <c r="F63" s="1"/>
      <c r="G63" s="1"/>
      <c r="H63" s="1"/>
      <c r="I63" s="2"/>
      <c r="J63" s="2"/>
      <c r="K63" s="1"/>
      <c r="L63" s="2"/>
      <c r="M63" s="1"/>
      <c r="N63" s="1"/>
      <c r="O63" s="1"/>
      <c r="P63" s="1"/>
      <c r="Q63" s="1"/>
      <c r="R63" s="1"/>
      <c r="S63" s="1"/>
      <c r="T63" s="1"/>
      <c r="U63" s="1"/>
      <c r="V63" s="1"/>
      <c r="W63" s="1"/>
      <c r="X63" s="1"/>
      <c r="Y63" s="1"/>
      <c r="Z63" s="1"/>
    </row>
    <row r="64" ht="15.75" customHeight="1">
      <c r="A64" s="1"/>
      <c r="B64" s="1"/>
      <c r="C64" s="1"/>
      <c r="D64" s="1"/>
      <c r="E64" s="1"/>
      <c r="F64" s="1"/>
      <c r="G64" s="1"/>
      <c r="H64" s="1"/>
      <c r="I64" s="2"/>
      <c r="J64" s="2"/>
      <c r="K64" s="1"/>
      <c r="L64" s="2"/>
      <c r="M64" s="1"/>
      <c r="N64" s="1"/>
      <c r="O64" s="1"/>
      <c r="P64" s="1"/>
      <c r="Q64" s="1"/>
      <c r="R64" s="1"/>
      <c r="S64" s="1"/>
      <c r="T64" s="1"/>
      <c r="U64" s="1"/>
      <c r="V64" s="1"/>
      <c r="W64" s="1"/>
      <c r="X64" s="1"/>
      <c r="Y64" s="1"/>
      <c r="Z64" s="1"/>
    </row>
    <row r="65" ht="15.75" customHeight="1">
      <c r="A65" s="1"/>
      <c r="B65" s="1"/>
      <c r="C65" s="1"/>
      <c r="D65" s="1"/>
      <c r="E65" s="1"/>
      <c r="F65" s="1"/>
      <c r="G65" s="1"/>
      <c r="H65" s="1"/>
      <c r="I65" s="2"/>
      <c r="J65" s="2"/>
      <c r="K65" s="1"/>
      <c r="L65" s="2"/>
      <c r="M65" s="1"/>
      <c r="N65" s="1"/>
      <c r="O65" s="1"/>
      <c r="P65" s="1"/>
      <c r="Q65" s="1"/>
      <c r="R65" s="1"/>
      <c r="S65" s="1"/>
      <c r="T65" s="1"/>
      <c r="U65" s="1"/>
      <c r="V65" s="1"/>
      <c r="W65" s="1"/>
      <c r="X65" s="1"/>
      <c r="Y65" s="1"/>
      <c r="Z65" s="1"/>
    </row>
    <row r="66" ht="15.75" customHeight="1">
      <c r="A66" s="1"/>
      <c r="B66" s="1"/>
      <c r="C66" s="1"/>
      <c r="D66" s="1"/>
      <c r="E66" s="1"/>
      <c r="F66" s="1"/>
      <c r="G66" s="1"/>
      <c r="H66" s="1"/>
      <c r="I66" s="2"/>
      <c r="J66" s="2"/>
      <c r="K66" s="1"/>
      <c r="L66" s="2"/>
      <c r="M66" s="1"/>
      <c r="N66" s="1"/>
      <c r="O66" s="1"/>
      <c r="P66" s="1"/>
      <c r="Q66" s="1"/>
      <c r="R66" s="1"/>
      <c r="S66" s="1"/>
      <c r="T66" s="1"/>
      <c r="U66" s="1"/>
      <c r="V66" s="1"/>
      <c r="W66" s="1"/>
      <c r="X66" s="1"/>
      <c r="Y66" s="1"/>
      <c r="Z66" s="1"/>
    </row>
    <row r="67" ht="15.75" customHeight="1">
      <c r="A67" s="1"/>
      <c r="B67" s="1"/>
      <c r="C67" s="1"/>
      <c r="D67" s="1"/>
      <c r="E67" s="1"/>
      <c r="F67" s="1"/>
      <c r="G67" s="1"/>
      <c r="H67" s="1"/>
      <c r="I67" s="2"/>
      <c r="J67" s="2"/>
      <c r="K67" s="1"/>
      <c r="L67" s="2"/>
      <c r="M67" s="1"/>
      <c r="N67" s="1"/>
      <c r="O67" s="1"/>
      <c r="P67" s="1"/>
      <c r="Q67" s="1"/>
      <c r="R67" s="1"/>
      <c r="S67" s="1"/>
      <c r="T67" s="1"/>
      <c r="U67" s="1"/>
      <c r="V67" s="1"/>
      <c r="W67" s="1"/>
      <c r="X67" s="1"/>
      <c r="Y67" s="1"/>
      <c r="Z67" s="1"/>
    </row>
    <row r="68" ht="15.75" customHeight="1">
      <c r="A68" s="1"/>
      <c r="B68" s="1"/>
      <c r="C68" s="1"/>
      <c r="D68" s="1"/>
      <c r="E68" s="1"/>
      <c r="F68" s="1"/>
      <c r="G68" s="1"/>
      <c r="H68" s="1"/>
      <c r="I68" s="2"/>
      <c r="J68" s="2"/>
      <c r="K68" s="1"/>
      <c r="L68" s="2"/>
      <c r="M68" s="1"/>
      <c r="N68" s="1"/>
      <c r="O68" s="1"/>
      <c r="P68" s="1"/>
      <c r="Q68" s="1"/>
      <c r="R68" s="1"/>
      <c r="S68" s="1"/>
      <c r="T68" s="1"/>
      <c r="U68" s="1"/>
      <c r="V68" s="1"/>
      <c r="W68" s="1"/>
      <c r="X68" s="1"/>
      <c r="Y68" s="1"/>
      <c r="Z68" s="1"/>
    </row>
    <row r="69" ht="15.75" customHeight="1">
      <c r="A69" s="1"/>
      <c r="B69" s="1"/>
      <c r="C69" s="1"/>
      <c r="D69" s="1"/>
      <c r="E69" s="1"/>
      <c r="F69" s="1"/>
      <c r="G69" s="1"/>
      <c r="H69" s="1"/>
      <c r="I69" s="2"/>
      <c r="J69" s="2"/>
      <c r="K69" s="1"/>
      <c r="L69" s="2"/>
      <c r="M69" s="1"/>
      <c r="N69" s="1"/>
      <c r="O69" s="1"/>
      <c r="P69" s="1"/>
      <c r="Q69" s="1"/>
      <c r="R69" s="1"/>
      <c r="S69" s="1"/>
      <c r="T69" s="1"/>
      <c r="U69" s="1"/>
      <c r="V69" s="1"/>
      <c r="W69" s="1"/>
      <c r="X69" s="1"/>
      <c r="Y69" s="1"/>
      <c r="Z69" s="1"/>
    </row>
    <row r="70" ht="15.75" customHeight="1">
      <c r="A70" s="1"/>
      <c r="B70" s="1"/>
      <c r="C70" s="1"/>
      <c r="D70" s="1"/>
      <c r="E70" s="1"/>
      <c r="F70" s="1"/>
      <c r="G70" s="1"/>
      <c r="H70" s="1"/>
      <c r="I70" s="2"/>
      <c r="J70" s="2"/>
      <c r="K70" s="1"/>
      <c r="L70" s="2"/>
      <c r="M70" s="1"/>
      <c r="N70" s="1"/>
      <c r="O70" s="1"/>
      <c r="P70" s="1"/>
      <c r="Q70" s="1"/>
      <c r="R70" s="1"/>
      <c r="S70" s="1"/>
      <c r="T70" s="1"/>
      <c r="U70" s="1"/>
      <c r="V70" s="1"/>
      <c r="W70" s="1"/>
      <c r="X70" s="1"/>
      <c r="Y70" s="1"/>
      <c r="Z70" s="1"/>
    </row>
    <row r="71" ht="15.75" customHeight="1">
      <c r="A71" s="1"/>
      <c r="B71" s="1"/>
      <c r="C71" s="1"/>
      <c r="D71" s="1"/>
      <c r="E71" s="1"/>
      <c r="F71" s="1"/>
      <c r="G71" s="1"/>
      <c r="H71" s="1"/>
      <c r="I71" s="2"/>
      <c r="J71" s="2"/>
      <c r="K71" s="1"/>
      <c r="L71" s="2"/>
      <c r="M71" s="1"/>
      <c r="N71" s="1"/>
      <c r="O71" s="1"/>
      <c r="P71" s="1"/>
      <c r="Q71" s="1"/>
      <c r="R71" s="1"/>
      <c r="S71" s="1"/>
      <c r="T71" s="1"/>
      <c r="U71" s="1"/>
      <c r="V71" s="1"/>
      <c r="W71" s="1"/>
      <c r="X71" s="1"/>
      <c r="Y71" s="1"/>
      <c r="Z71" s="1"/>
    </row>
    <row r="72" ht="15.75" customHeight="1">
      <c r="A72" s="1"/>
      <c r="B72" s="1"/>
      <c r="C72" s="1"/>
      <c r="D72" s="1"/>
      <c r="E72" s="1"/>
      <c r="F72" s="1"/>
      <c r="G72" s="1"/>
      <c r="H72" s="1"/>
      <c r="I72" s="2"/>
      <c r="J72" s="2"/>
      <c r="K72" s="1"/>
      <c r="L72" s="2"/>
      <c r="M72" s="1"/>
      <c r="N72" s="1"/>
      <c r="O72" s="1"/>
      <c r="P72" s="1"/>
      <c r="Q72" s="1"/>
      <c r="R72" s="1"/>
      <c r="S72" s="1"/>
      <c r="T72" s="1"/>
      <c r="U72" s="1"/>
      <c r="V72" s="1"/>
      <c r="W72" s="1"/>
      <c r="X72" s="1"/>
      <c r="Y72" s="1"/>
      <c r="Z72" s="1"/>
    </row>
    <row r="73" ht="15.75" customHeight="1">
      <c r="A73" s="1"/>
      <c r="B73" s="1"/>
      <c r="C73" s="1"/>
      <c r="D73" s="1"/>
      <c r="E73" s="1"/>
      <c r="F73" s="1"/>
      <c r="G73" s="1"/>
      <c r="H73" s="1"/>
      <c r="I73" s="2"/>
      <c r="J73" s="2"/>
      <c r="K73" s="1"/>
      <c r="L73" s="2"/>
      <c r="M73" s="1"/>
      <c r="N73" s="1"/>
      <c r="O73" s="1"/>
      <c r="P73" s="1"/>
      <c r="Q73" s="1"/>
      <c r="R73" s="1"/>
      <c r="S73" s="1"/>
      <c r="T73" s="1"/>
      <c r="U73" s="1"/>
      <c r="V73" s="1"/>
      <c r="W73" s="1"/>
      <c r="X73" s="1"/>
      <c r="Y73" s="1"/>
      <c r="Z73" s="1"/>
    </row>
    <row r="74" ht="15.75" customHeight="1">
      <c r="A74" s="1"/>
      <c r="B74" s="1"/>
      <c r="C74" s="1"/>
      <c r="D74" s="1"/>
      <c r="E74" s="1"/>
      <c r="F74" s="1"/>
      <c r="G74" s="1"/>
      <c r="H74" s="1"/>
      <c r="I74" s="2"/>
      <c r="J74" s="2"/>
      <c r="K74" s="1"/>
      <c r="L74" s="2"/>
      <c r="M74" s="1"/>
      <c r="N74" s="1"/>
      <c r="O74" s="1"/>
      <c r="P74" s="1"/>
      <c r="Q74" s="1"/>
      <c r="R74" s="1"/>
      <c r="S74" s="1"/>
      <c r="T74" s="1"/>
      <c r="U74" s="1"/>
      <c r="V74" s="1"/>
      <c r="W74" s="1"/>
      <c r="X74" s="1"/>
      <c r="Y74" s="1"/>
      <c r="Z74" s="1"/>
    </row>
    <row r="75" ht="15.75" customHeight="1">
      <c r="A75" s="1"/>
      <c r="B75" s="1"/>
      <c r="C75" s="1"/>
      <c r="D75" s="1"/>
      <c r="E75" s="1"/>
      <c r="F75" s="1"/>
      <c r="G75" s="1"/>
      <c r="H75" s="1"/>
      <c r="I75" s="2"/>
      <c r="J75" s="2"/>
      <c r="K75" s="1"/>
      <c r="L75" s="2"/>
      <c r="M75" s="1"/>
      <c r="N75" s="1"/>
      <c r="O75" s="1"/>
      <c r="P75" s="1"/>
      <c r="Q75" s="1"/>
      <c r="R75" s="1"/>
      <c r="S75" s="1"/>
      <c r="T75" s="1"/>
      <c r="U75" s="1"/>
      <c r="V75" s="1"/>
      <c r="W75" s="1"/>
      <c r="X75" s="1"/>
      <c r="Y75" s="1"/>
      <c r="Z75" s="1"/>
    </row>
    <row r="76" ht="15.75" customHeight="1">
      <c r="A76" s="1"/>
      <c r="B76" s="1"/>
      <c r="C76" s="1"/>
      <c r="D76" s="1"/>
      <c r="E76" s="1"/>
      <c r="F76" s="1"/>
      <c r="G76" s="1"/>
      <c r="H76" s="1"/>
      <c r="I76" s="2"/>
      <c r="J76" s="2"/>
      <c r="K76" s="1"/>
      <c r="L76" s="2"/>
      <c r="M76" s="1"/>
      <c r="N76" s="1"/>
      <c r="O76" s="1"/>
      <c r="P76" s="1"/>
      <c r="Q76" s="1"/>
      <c r="R76" s="1"/>
      <c r="S76" s="1"/>
      <c r="T76" s="1"/>
      <c r="U76" s="1"/>
      <c r="V76" s="1"/>
      <c r="W76" s="1"/>
      <c r="X76" s="1"/>
      <c r="Y76" s="1"/>
      <c r="Z76" s="1"/>
    </row>
    <row r="77" ht="15.75" customHeight="1">
      <c r="A77" s="1"/>
      <c r="B77" s="1"/>
      <c r="C77" s="1"/>
      <c r="D77" s="1"/>
      <c r="E77" s="1"/>
      <c r="F77" s="1"/>
      <c r="G77" s="1"/>
      <c r="H77" s="1"/>
      <c r="I77" s="2"/>
      <c r="J77" s="2"/>
      <c r="K77" s="1"/>
      <c r="L77" s="2"/>
      <c r="M77" s="1"/>
      <c r="N77" s="1"/>
      <c r="O77" s="1"/>
      <c r="P77" s="1"/>
      <c r="Q77" s="1"/>
      <c r="R77" s="1"/>
      <c r="S77" s="1"/>
      <c r="T77" s="1"/>
      <c r="U77" s="1"/>
      <c r="V77" s="1"/>
      <c r="W77" s="1"/>
      <c r="X77" s="1"/>
      <c r="Y77" s="1"/>
      <c r="Z77" s="1"/>
    </row>
    <row r="78" ht="15.75" customHeight="1">
      <c r="A78" s="1"/>
      <c r="B78" s="1"/>
      <c r="C78" s="1"/>
      <c r="D78" s="1"/>
      <c r="E78" s="1"/>
      <c r="F78" s="1"/>
      <c r="G78" s="1"/>
      <c r="H78" s="1"/>
      <c r="I78" s="2"/>
      <c r="J78" s="2"/>
      <c r="K78" s="1"/>
      <c r="L78" s="2"/>
      <c r="M78" s="1"/>
      <c r="N78" s="1"/>
      <c r="O78" s="1"/>
      <c r="P78" s="1"/>
      <c r="Q78" s="1"/>
      <c r="R78" s="1"/>
      <c r="S78" s="1"/>
      <c r="T78" s="1"/>
      <c r="U78" s="1"/>
      <c r="V78" s="1"/>
      <c r="W78" s="1"/>
      <c r="X78" s="1"/>
      <c r="Y78" s="1"/>
      <c r="Z78" s="1"/>
    </row>
    <row r="79" ht="15.75" customHeight="1">
      <c r="A79" s="1"/>
      <c r="B79" s="1"/>
      <c r="C79" s="1"/>
      <c r="D79" s="1"/>
      <c r="E79" s="1"/>
      <c r="F79" s="1"/>
      <c r="G79" s="1"/>
      <c r="H79" s="1"/>
      <c r="I79" s="2"/>
      <c r="J79" s="2"/>
      <c r="K79" s="1"/>
      <c r="L79" s="2"/>
      <c r="M79" s="1"/>
      <c r="N79" s="1"/>
      <c r="O79" s="1"/>
      <c r="P79" s="1"/>
      <c r="Q79" s="1"/>
      <c r="R79" s="1"/>
      <c r="S79" s="1"/>
      <c r="T79" s="1"/>
      <c r="U79" s="1"/>
      <c r="V79" s="1"/>
      <c r="W79" s="1"/>
      <c r="X79" s="1"/>
      <c r="Y79" s="1"/>
      <c r="Z79" s="1"/>
    </row>
    <row r="80" ht="15.75" customHeight="1">
      <c r="A80" s="1"/>
      <c r="B80" s="1"/>
      <c r="C80" s="1"/>
      <c r="D80" s="1"/>
      <c r="E80" s="1"/>
      <c r="F80" s="1"/>
      <c r="G80" s="1"/>
      <c r="H80" s="1"/>
      <c r="I80" s="2"/>
      <c r="J80" s="2"/>
      <c r="K80" s="1"/>
      <c r="L80" s="2"/>
      <c r="M80" s="1"/>
      <c r="N80" s="1"/>
      <c r="O80" s="1"/>
      <c r="P80" s="1"/>
      <c r="Q80" s="1"/>
      <c r="R80" s="1"/>
      <c r="S80" s="1"/>
      <c r="T80" s="1"/>
      <c r="U80" s="1"/>
      <c r="V80" s="1"/>
      <c r="W80" s="1"/>
      <c r="X80" s="1"/>
      <c r="Y80" s="1"/>
      <c r="Z80" s="1"/>
    </row>
    <row r="81" ht="15.75" customHeight="1">
      <c r="A81" s="1"/>
      <c r="B81" s="1"/>
      <c r="C81" s="1"/>
      <c r="D81" s="1"/>
      <c r="E81" s="1"/>
      <c r="F81" s="1"/>
      <c r="G81" s="1"/>
      <c r="H81" s="1"/>
      <c r="I81" s="2"/>
      <c r="J81" s="2"/>
      <c r="K81" s="1"/>
      <c r="L81" s="2"/>
      <c r="M81" s="1"/>
      <c r="N81" s="1"/>
      <c r="O81" s="1"/>
      <c r="P81" s="1"/>
      <c r="Q81" s="1"/>
      <c r="R81" s="1"/>
      <c r="S81" s="1"/>
      <c r="T81" s="1"/>
      <c r="U81" s="1"/>
      <c r="V81" s="1"/>
      <c r="W81" s="1"/>
      <c r="X81" s="1"/>
      <c r="Y81" s="1"/>
      <c r="Z81" s="1"/>
    </row>
    <row r="82" ht="15.75" customHeight="1">
      <c r="A82" s="1"/>
      <c r="B82" s="1"/>
      <c r="C82" s="1"/>
      <c r="D82" s="1"/>
      <c r="E82" s="1"/>
      <c r="F82" s="1"/>
      <c r="G82" s="1"/>
      <c r="H82" s="1"/>
      <c r="I82" s="2"/>
      <c r="J82" s="2"/>
      <c r="K82" s="1"/>
      <c r="L82" s="2"/>
      <c r="M82" s="1"/>
      <c r="N82" s="1"/>
      <c r="O82" s="1"/>
      <c r="P82" s="1"/>
      <c r="Q82" s="1"/>
      <c r="R82" s="1"/>
      <c r="S82" s="1"/>
      <c r="T82" s="1"/>
      <c r="U82" s="1"/>
      <c r="V82" s="1"/>
      <c r="W82" s="1"/>
      <c r="X82" s="1"/>
      <c r="Y82" s="1"/>
      <c r="Z82" s="1"/>
    </row>
    <row r="83" ht="15.75" customHeight="1">
      <c r="A83" s="1"/>
      <c r="B83" s="1"/>
      <c r="C83" s="1"/>
      <c r="D83" s="1"/>
      <c r="E83" s="1"/>
      <c r="F83" s="1"/>
      <c r="G83" s="1"/>
      <c r="H83" s="1"/>
      <c r="I83" s="2"/>
      <c r="J83" s="2"/>
      <c r="K83" s="1"/>
      <c r="L83" s="2"/>
      <c r="M83" s="1"/>
      <c r="N83" s="1"/>
      <c r="O83" s="1"/>
      <c r="P83" s="1"/>
      <c r="Q83" s="1"/>
      <c r="R83" s="1"/>
      <c r="S83" s="1"/>
      <c r="T83" s="1"/>
      <c r="U83" s="1"/>
      <c r="V83" s="1"/>
      <c r="W83" s="1"/>
      <c r="X83" s="1"/>
      <c r="Y83" s="1"/>
      <c r="Z83" s="1"/>
    </row>
    <row r="84" ht="15.75" customHeight="1">
      <c r="A84" s="1"/>
      <c r="B84" s="1"/>
      <c r="C84" s="1"/>
      <c r="D84" s="1"/>
      <c r="E84" s="1"/>
      <c r="F84" s="1"/>
      <c r="G84" s="1"/>
      <c r="H84" s="1"/>
      <c r="I84" s="2"/>
      <c r="J84" s="2"/>
      <c r="K84" s="1"/>
      <c r="L84" s="2"/>
      <c r="M84" s="1"/>
      <c r="N84" s="1"/>
      <c r="O84" s="1"/>
      <c r="P84" s="1"/>
      <c r="Q84" s="1"/>
      <c r="R84" s="1"/>
      <c r="S84" s="1"/>
      <c r="T84" s="1"/>
      <c r="U84" s="1"/>
      <c r="V84" s="1"/>
      <c r="W84" s="1"/>
      <c r="X84" s="1"/>
      <c r="Y84" s="1"/>
      <c r="Z84" s="1"/>
    </row>
    <row r="85" ht="15.75" customHeight="1">
      <c r="A85" s="1"/>
      <c r="B85" s="1"/>
      <c r="C85" s="1"/>
      <c r="D85" s="1"/>
      <c r="E85" s="1"/>
      <c r="F85" s="1"/>
      <c r="G85" s="1"/>
      <c r="H85" s="1"/>
      <c r="I85" s="2"/>
      <c r="J85" s="2"/>
      <c r="K85" s="1"/>
      <c r="L85" s="2"/>
      <c r="M85" s="1"/>
      <c r="N85" s="1"/>
      <c r="O85" s="1"/>
      <c r="P85" s="1"/>
      <c r="Q85" s="1"/>
      <c r="R85" s="1"/>
      <c r="S85" s="1"/>
      <c r="T85" s="1"/>
      <c r="U85" s="1"/>
      <c r="V85" s="1"/>
      <c r="W85" s="1"/>
      <c r="X85" s="1"/>
      <c r="Y85" s="1"/>
      <c r="Z85" s="1"/>
    </row>
    <row r="86" ht="15.75" customHeight="1">
      <c r="A86" s="1"/>
      <c r="B86" s="1"/>
      <c r="C86" s="1"/>
      <c r="D86" s="1"/>
      <c r="E86" s="1"/>
      <c r="F86" s="1"/>
      <c r="G86" s="1"/>
      <c r="H86" s="1"/>
      <c r="I86" s="2"/>
      <c r="J86" s="2"/>
      <c r="K86" s="1"/>
      <c r="L86" s="2"/>
      <c r="M86" s="1"/>
      <c r="N86" s="1"/>
      <c r="O86" s="1"/>
      <c r="P86" s="1"/>
      <c r="Q86" s="1"/>
      <c r="R86" s="1"/>
      <c r="S86" s="1"/>
      <c r="T86" s="1"/>
      <c r="U86" s="1"/>
      <c r="V86" s="1"/>
      <c r="W86" s="1"/>
      <c r="X86" s="1"/>
      <c r="Y86" s="1"/>
      <c r="Z86" s="1"/>
    </row>
    <row r="87" ht="15.75" customHeight="1">
      <c r="A87" s="1"/>
      <c r="B87" s="1"/>
      <c r="C87" s="1"/>
      <c r="D87" s="1"/>
      <c r="E87" s="1"/>
      <c r="F87" s="1"/>
      <c r="G87" s="1"/>
      <c r="H87" s="1"/>
      <c r="I87" s="2"/>
      <c r="J87" s="2"/>
      <c r="K87" s="1"/>
      <c r="L87" s="2"/>
      <c r="M87" s="1"/>
      <c r="N87" s="1"/>
      <c r="O87" s="1"/>
      <c r="P87" s="1"/>
      <c r="Q87" s="1"/>
      <c r="R87" s="1"/>
      <c r="S87" s="1"/>
      <c r="T87" s="1"/>
      <c r="U87" s="1"/>
      <c r="V87" s="1"/>
      <c r="W87" s="1"/>
      <c r="X87" s="1"/>
      <c r="Y87" s="1"/>
      <c r="Z87" s="1"/>
    </row>
    <row r="88" ht="15.75" customHeight="1">
      <c r="A88" s="1"/>
      <c r="B88" s="1"/>
      <c r="C88" s="1"/>
      <c r="D88" s="1"/>
      <c r="E88" s="1"/>
      <c r="F88" s="1"/>
      <c r="G88" s="1"/>
      <c r="H88" s="1"/>
      <c r="I88" s="2"/>
      <c r="J88" s="2"/>
      <c r="K88" s="1"/>
      <c r="L88" s="2"/>
      <c r="M88" s="1"/>
      <c r="N88" s="1"/>
      <c r="O88" s="1"/>
      <c r="P88" s="1"/>
      <c r="Q88" s="1"/>
      <c r="R88" s="1"/>
      <c r="S88" s="1"/>
      <c r="T88" s="1"/>
      <c r="U88" s="1"/>
      <c r="V88" s="1"/>
      <c r="W88" s="1"/>
      <c r="X88" s="1"/>
      <c r="Y88" s="1"/>
      <c r="Z88" s="1"/>
    </row>
    <row r="89" ht="15.75" customHeight="1">
      <c r="A89" s="1"/>
      <c r="B89" s="1"/>
      <c r="C89" s="1"/>
      <c r="D89" s="1"/>
      <c r="E89" s="1"/>
      <c r="F89" s="1"/>
      <c r="G89" s="1"/>
      <c r="H89" s="1"/>
      <c r="I89" s="2"/>
      <c r="J89" s="2"/>
      <c r="K89" s="1"/>
      <c r="L89" s="2"/>
      <c r="M89" s="1"/>
      <c r="N89" s="1"/>
      <c r="O89" s="1"/>
      <c r="P89" s="1"/>
      <c r="Q89" s="1"/>
      <c r="R89" s="1"/>
      <c r="S89" s="1"/>
      <c r="T89" s="1"/>
      <c r="U89" s="1"/>
      <c r="V89" s="1"/>
      <c r="W89" s="1"/>
      <c r="X89" s="1"/>
      <c r="Y89" s="1"/>
      <c r="Z89" s="1"/>
    </row>
    <row r="90" ht="15.75" customHeight="1">
      <c r="A90" s="1"/>
      <c r="B90" s="1"/>
      <c r="C90" s="1"/>
      <c r="D90" s="1"/>
      <c r="E90" s="1"/>
      <c r="F90" s="1"/>
      <c r="G90" s="1"/>
      <c r="H90" s="1"/>
      <c r="I90" s="2"/>
      <c r="J90" s="2"/>
      <c r="K90" s="1"/>
      <c r="L90" s="2"/>
      <c r="M90" s="1"/>
      <c r="N90" s="1"/>
      <c r="O90" s="1"/>
      <c r="P90" s="1"/>
      <c r="Q90" s="1"/>
      <c r="R90" s="1"/>
      <c r="S90" s="1"/>
      <c r="T90" s="1"/>
      <c r="U90" s="1"/>
      <c r="V90" s="1"/>
      <c r="W90" s="1"/>
      <c r="X90" s="1"/>
      <c r="Y90" s="1"/>
      <c r="Z90" s="1"/>
    </row>
    <row r="91" ht="15.75" customHeight="1">
      <c r="A91" s="1"/>
      <c r="B91" s="1"/>
      <c r="C91" s="1"/>
      <c r="D91" s="1"/>
      <c r="E91" s="1"/>
      <c r="F91" s="1"/>
      <c r="G91" s="1"/>
      <c r="H91" s="1"/>
      <c r="I91" s="2"/>
      <c r="J91" s="2"/>
      <c r="K91" s="1"/>
      <c r="L91" s="2"/>
      <c r="M91" s="1"/>
      <c r="N91" s="1"/>
      <c r="O91" s="1"/>
      <c r="P91" s="1"/>
      <c r="Q91" s="1"/>
      <c r="R91" s="1"/>
      <c r="S91" s="1"/>
      <c r="T91" s="1"/>
      <c r="U91" s="1"/>
      <c r="V91" s="1"/>
      <c r="W91" s="1"/>
      <c r="X91" s="1"/>
      <c r="Y91" s="1"/>
      <c r="Z91" s="1"/>
    </row>
    <row r="92" ht="15.75" customHeight="1">
      <c r="A92" s="1"/>
      <c r="B92" s="1"/>
      <c r="C92" s="1"/>
      <c r="D92" s="1"/>
      <c r="E92" s="1"/>
      <c r="F92" s="1"/>
      <c r="G92" s="1"/>
      <c r="H92" s="1"/>
      <c r="I92" s="2"/>
      <c r="J92" s="2"/>
      <c r="K92" s="1"/>
      <c r="L92" s="2"/>
      <c r="M92" s="1"/>
      <c r="N92" s="1"/>
      <c r="O92" s="1"/>
      <c r="P92" s="1"/>
      <c r="Q92" s="1"/>
      <c r="R92" s="1"/>
      <c r="S92" s="1"/>
      <c r="T92" s="1"/>
      <c r="U92" s="1"/>
      <c r="V92" s="1"/>
      <c r="W92" s="1"/>
      <c r="X92" s="1"/>
      <c r="Y92" s="1"/>
      <c r="Z92" s="1"/>
    </row>
    <row r="93" ht="15.75" customHeight="1">
      <c r="A93" s="1"/>
      <c r="B93" s="1"/>
      <c r="C93" s="1"/>
      <c r="D93" s="1"/>
      <c r="E93" s="1"/>
      <c r="F93" s="1"/>
      <c r="G93" s="1"/>
      <c r="H93" s="1"/>
      <c r="I93" s="2"/>
      <c r="J93" s="2"/>
      <c r="K93" s="1"/>
      <c r="L93" s="2"/>
      <c r="M93" s="1"/>
      <c r="N93" s="1"/>
      <c r="O93" s="1"/>
      <c r="P93" s="1"/>
      <c r="Q93" s="1"/>
      <c r="R93" s="1"/>
      <c r="S93" s="1"/>
      <c r="T93" s="1"/>
      <c r="U93" s="1"/>
      <c r="V93" s="1"/>
      <c r="W93" s="1"/>
      <c r="X93" s="1"/>
      <c r="Y93" s="1"/>
      <c r="Z93" s="1"/>
    </row>
    <row r="94" ht="15.75" customHeight="1">
      <c r="A94" s="1"/>
      <c r="B94" s="1"/>
      <c r="C94" s="1"/>
      <c r="D94" s="1"/>
      <c r="E94" s="1"/>
      <c r="F94" s="1"/>
      <c r="G94" s="1"/>
      <c r="H94" s="1"/>
      <c r="I94" s="2"/>
      <c r="J94" s="2"/>
      <c r="K94" s="1"/>
      <c r="L94" s="2"/>
      <c r="M94" s="1"/>
      <c r="N94" s="1"/>
      <c r="O94" s="1"/>
      <c r="P94" s="1"/>
      <c r="Q94" s="1"/>
      <c r="R94" s="1"/>
      <c r="S94" s="1"/>
      <c r="T94" s="1"/>
      <c r="U94" s="1"/>
      <c r="V94" s="1"/>
      <c r="W94" s="1"/>
      <c r="X94" s="1"/>
      <c r="Y94" s="1"/>
      <c r="Z94" s="1"/>
    </row>
    <row r="95" ht="15.75" customHeight="1">
      <c r="A95" s="1"/>
      <c r="B95" s="1"/>
      <c r="C95" s="1"/>
      <c r="D95" s="1"/>
      <c r="E95" s="1"/>
      <c r="F95" s="1"/>
      <c r="G95" s="1"/>
      <c r="H95" s="1"/>
      <c r="I95" s="2"/>
      <c r="J95" s="2"/>
      <c r="K95" s="1"/>
      <c r="L95" s="2"/>
      <c r="M95" s="1"/>
      <c r="N95" s="1"/>
      <c r="O95" s="1"/>
      <c r="P95" s="1"/>
      <c r="Q95" s="1"/>
      <c r="R95" s="1"/>
      <c r="S95" s="1"/>
      <c r="T95" s="1"/>
      <c r="U95" s="1"/>
      <c r="V95" s="1"/>
      <c r="W95" s="1"/>
      <c r="X95" s="1"/>
      <c r="Y95" s="1"/>
      <c r="Z95" s="1"/>
    </row>
    <row r="96" ht="15.75" customHeight="1">
      <c r="A96" s="1"/>
      <c r="B96" s="1"/>
      <c r="C96" s="1"/>
      <c r="D96" s="1"/>
      <c r="E96" s="1"/>
      <c r="F96" s="1"/>
      <c r="G96" s="1"/>
      <c r="H96" s="1"/>
      <c r="I96" s="2"/>
      <c r="J96" s="2"/>
      <c r="K96" s="1"/>
      <c r="L96" s="2"/>
      <c r="M96" s="1"/>
      <c r="N96" s="1"/>
      <c r="O96" s="1"/>
      <c r="P96" s="1"/>
      <c r="Q96" s="1"/>
      <c r="R96" s="1"/>
      <c r="S96" s="1"/>
      <c r="T96" s="1"/>
      <c r="U96" s="1"/>
      <c r="V96" s="1"/>
      <c r="W96" s="1"/>
      <c r="X96" s="1"/>
      <c r="Y96" s="1"/>
      <c r="Z96" s="1"/>
    </row>
    <row r="97" ht="15.75" customHeight="1">
      <c r="A97" s="1"/>
      <c r="B97" s="1"/>
      <c r="C97" s="1"/>
      <c r="D97" s="1"/>
      <c r="E97" s="1"/>
      <c r="F97" s="1"/>
      <c r="G97" s="1"/>
      <c r="H97" s="1"/>
      <c r="I97" s="2"/>
      <c r="J97" s="2"/>
      <c r="K97" s="1"/>
      <c r="L97" s="2"/>
      <c r="M97" s="1"/>
      <c r="N97" s="1"/>
      <c r="O97" s="1"/>
      <c r="P97" s="1"/>
      <c r="Q97" s="1"/>
      <c r="R97" s="1"/>
      <c r="S97" s="1"/>
      <c r="T97" s="1"/>
      <c r="U97" s="1"/>
      <c r="V97" s="1"/>
      <c r="W97" s="1"/>
      <c r="X97" s="1"/>
      <c r="Y97" s="1"/>
      <c r="Z97" s="1"/>
    </row>
    <row r="98" ht="15.75" customHeight="1">
      <c r="A98" s="1"/>
      <c r="B98" s="1"/>
      <c r="C98" s="1"/>
      <c r="D98" s="1"/>
      <c r="E98" s="1"/>
      <c r="F98" s="1"/>
      <c r="G98" s="1"/>
      <c r="H98" s="1"/>
      <c r="I98" s="2"/>
      <c r="J98" s="2"/>
      <c r="K98" s="1"/>
      <c r="L98" s="2"/>
      <c r="M98" s="1"/>
      <c r="N98" s="1"/>
      <c r="O98" s="1"/>
      <c r="P98" s="1"/>
      <c r="Q98" s="1"/>
      <c r="R98" s="1"/>
      <c r="S98" s="1"/>
      <c r="T98" s="1"/>
      <c r="U98" s="1"/>
      <c r="V98" s="1"/>
      <c r="W98" s="1"/>
      <c r="X98" s="1"/>
      <c r="Y98" s="1"/>
      <c r="Z98" s="1"/>
    </row>
    <row r="99" ht="15.75" customHeight="1">
      <c r="A99" s="1"/>
      <c r="B99" s="1"/>
      <c r="C99" s="1"/>
      <c r="D99" s="1"/>
      <c r="E99" s="1"/>
      <c r="F99" s="1"/>
      <c r="G99" s="1"/>
      <c r="H99" s="1"/>
      <c r="I99" s="2"/>
      <c r="J99" s="2"/>
      <c r="K99" s="1"/>
      <c r="L99" s="2"/>
      <c r="M99" s="1"/>
      <c r="N99" s="1"/>
      <c r="O99" s="1"/>
      <c r="P99" s="1"/>
      <c r="Q99" s="1"/>
      <c r="R99" s="1"/>
      <c r="S99" s="1"/>
      <c r="T99" s="1"/>
      <c r="U99" s="1"/>
      <c r="V99" s="1"/>
      <c r="W99" s="1"/>
      <c r="X99" s="1"/>
      <c r="Y99" s="1"/>
      <c r="Z99" s="1"/>
    </row>
    <row r="100" ht="15.75" customHeight="1">
      <c r="A100" s="1"/>
      <c r="B100" s="1"/>
      <c r="C100" s="1"/>
      <c r="D100" s="1"/>
      <c r="E100" s="1"/>
      <c r="F100" s="1"/>
      <c r="G100" s="1"/>
      <c r="H100" s="1"/>
      <c r="I100" s="2"/>
      <c r="J100" s="2"/>
      <c r="K100" s="1"/>
      <c r="L100" s="2"/>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2"/>
      <c r="J101" s="2"/>
      <c r="K101" s="1"/>
      <c r="L101" s="2"/>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2"/>
      <c r="J102" s="2"/>
      <c r="K102" s="1"/>
      <c r="L102" s="2"/>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2"/>
      <c r="J103" s="2"/>
      <c r="K103" s="1"/>
      <c r="L103" s="2"/>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2"/>
      <c r="J104" s="2"/>
      <c r="K104" s="1"/>
      <c r="L104" s="2"/>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2"/>
      <c r="J105" s="2"/>
      <c r="K105" s="1"/>
      <c r="L105" s="2"/>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2"/>
      <c r="J106" s="2"/>
      <c r="K106" s="1"/>
      <c r="L106" s="2"/>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2"/>
      <c r="J107" s="2"/>
      <c r="K107" s="1"/>
      <c r="L107" s="2"/>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2"/>
      <c r="J108" s="2"/>
      <c r="K108" s="1"/>
      <c r="L108" s="2"/>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2"/>
      <c r="J109" s="2"/>
      <c r="K109" s="1"/>
      <c r="L109" s="2"/>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2"/>
      <c r="J110" s="2"/>
      <c r="K110" s="1"/>
      <c r="L110" s="2"/>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2"/>
      <c r="J111" s="2"/>
      <c r="K111" s="1"/>
      <c r="L111" s="2"/>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2"/>
      <c r="J112" s="2"/>
      <c r="K112" s="1"/>
      <c r="L112" s="2"/>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2"/>
      <c r="J113" s="2"/>
      <c r="K113" s="1"/>
      <c r="L113" s="2"/>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2"/>
      <c r="J114" s="2"/>
      <c r="K114" s="1"/>
      <c r="L114" s="2"/>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2"/>
      <c r="J115" s="2"/>
      <c r="K115" s="1"/>
      <c r="L115" s="2"/>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2"/>
      <c r="J116" s="2"/>
      <c r="K116" s="1"/>
      <c r="L116" s="2"/>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2"/>
      <c r="J117" s="2"/>
      <c r="K117" s="1"/>
      <c r="L117" s="2"/>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2"/>
      <c r="J118" s="2"/>
      <c r="K118" s="1"/>
      <c r="L118" s="2"/>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2"/>
      <c r="J119" s="2"/>
      <c r="K119" s="1"/>
      <c r="L119" s="2"/>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2"/>
      <c r="J120" s="2"/>
      <c r="K120" s="1"/>
      <c r="L120" s="2"/>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2"/>
      <c r="J121" s="2"/>
      <c r="K121" s="1"/>
      <c r="L121" s="2"/>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2"/>
      <c r="J122" s="2"/>
      <c r="K122" s="1"/>
      <c r="L122" s="2"/>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2"/>
      <c r="J123" s="2"/>
      <c r="K123" s="1"/>
      <c r="L123" s="2"/>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2"/>
      <c r="J124" s="2"/>
      <c r="K124" s="1"/>
      <c r="L124" s="2"/>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2"/>
      <c r="J125" s="2"/>
      <c r="K125" s="1"/>
      <c r="L125" s="2"/>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2"/>
      <c r="J126" s="2"/>
      <c r="K126" s="1"/>
      <c r="L126" s="2"/>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2"/>
      <c r="J127" s="2"/>
      <c r="K127" s="1"/>
      <c r="L127" s="2"/>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2"/>
      <c r="J128" s="2"/>
      <c r="K128" s="1"/>
      <c r="L128" s="2"/>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2"/>
      <c r="J129" s="2"/>
      <c r="K129" s="1"/>
      <c r="L129" s="2"/>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2"/>
      <c r="J130" s="2"/>
      <c r="K130" s="1"/>
      <c r="L130" s="2"/>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2"/>
      <c r="J131" s="2"/>
      <c r="K131" s="1"/>
      <c r="L131" s="2"/>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2"/>
      <c r="J132" s="2"/>
      <c r="K132" s="1"/>
      <c r="L132" s="2"/>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2"/>
      <c r="J133" s="2"/>
      <c r="K133" s="1"/>
      <c r="L133" s="2"/>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2"/>
      <c r="J134" s="2"/>
      <c r="K134" s="1"/>
      <c r="L134" s="2"/>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2"/>
      <c r="J135" s="2"/>
      <c r="K135" s="1"/>
      <c r="L135" s="2"/>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2"/>
      <c r="J136" s="2"/>
      <c r="K136" s="1"/>
      <c r="L136" s="2"/>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2"/>
      <c r="J137" s="2"/>
      <c r="K137" s="1"/>
      <c r="L137" s="2"/>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2"/>
      <c r="J138" s="2"/>
      <c r="K138" s="1"/>
      <c r="L138" s="2"/>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2"/>
      <c r="J139" s="2"/>
      <c r="K139" s="1"/>
      <c r="L139" s="2"/>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2"/>
      <c r="J140" s="2"/>
      <c r="K140" s="1"/>
      <c r="L140" s="2"/>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2"/>
      <c r="J141" s="2"/>
      <c r="K141" s="1"/>
      <c r="L141" s="2"/>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2"/>
      <c r="J142" s="2"/>
      <c r="K142" s="1"/>
      <c r="L142" s="2"/>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2"/>
      <c r="J143" s="2"/>
      <c r="K143" s="1"/>
      <c r="L143" s="2"/>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2"/>
      <c r="J144" s="2"/>
      <c r="K144" s="1"/>
      <c r="L144" s="2"/>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2"/>
      <c r="J145" s="2"/>
      <c r="K145" s="1"/>
      <c r="L145" s="2"/>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2"/>
      <c r="J146" s="2"/>
      <c r="K146" s="1"/>
      <c r="L146" s="2"/>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2"/>
      <c r="J147" s="2"/>
      <c r="K147" s="1"/>
      <c r="L147" s="2"/>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2"/>
      <c r="J148" s="2"/>
      <c r="K148" s="1"/>
      <c r="L148" s="2"/>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2"/>
      <c r="J149" s="2"/>
      <c r="K149" s="1"/>
      <c r="L149" s="2"/>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2"/>
      <c r="J150" s="2"/>
      <c r="K150" s="1"/>
      <c r="L150" s="2"/>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2"/>
      <c r="J151" s="2"/>
      <c r="K151" s="1"/>
      <c r="L151" s="2"/>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2"/>
      <c r="J152" s="2"/>
      <c r="K152" s="1"/>
      <c r="L152" s="2"/>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2"/>
      <c r="J153" s="2"/>
      <c r="K153" s="1"/>
      <c r="L153" s="2"/>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2"/>
      <c r="J154" s="2"/>
      <c r="K154" s="1"/>
      <c r="L154" s="2"/>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2"/>
      <c r="J155" s="2"/>
      <c r="K155" s="1"/>
      <c r="L155" s="2"/>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2"/>
      <c r="J156" s="2"/>
      <c r="K156" s="1"/>
      <c r="L156" s="2"/>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2"/>
      <c r="J157" s="2"/>
      <c r="K157" s="1"/>
      <c r="L157" s="2"/>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2"/>
      <c r="J158" s="2"/>
      <c r="K158" s="1"/>
      <c r="L158" s="2"/>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2"/>
      <c r="J159" s="2"/>
      <c r="K159" s="1"/>
      <c r="L159" s="2"/>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2"/>
      <c r="J160" s="2"/>
      <c r="K160" s="1"/>
      <c r="L160" s="2"/>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2"/>
      <c r="J161" s="2"/>
      <c r="K161" s="1"/>
      <c r="L161" s="2"/>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2"/>
      <c r="J162" s="2"/>
      <c r="K162" s="1"/>
      <c r="L162" s="2"/>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2"/>
      <c r="J163" s="2"/>
      <c r="K163" s="1"/>
      <c r="L163" s="2"/>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2"/>
      <c r="J164" s="2"/>
      <c r="K164" s="1"/>
      <c r="L164" s="2"/>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2"/>
      <c r="J165" s="2"/>
      <c r="K165" s="1"/>
      <c r="L165" s="2"/>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2"/>
      <c r="J166" s="2"/>
      <c r="K166" s="1"/>
      <c r="L166" s="2"/>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2"/>
      <c r="J167" s="2"/>
      <c r="K167" s="1"/>
      <c r="L167" s="2"/>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2"/>
      <c r="J168" s="2"/>
      <c r="K168" s="1"/>
      <c r="L168" s="2"/>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2"/>
      <c r="J169" s="2"/>
      <c r="K169" s="1"/>
      <c r="L169" s="2"/>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2"/>
      <c r="J170" s="2"/>
      <c r="K170" s="1"/>
      <c r="L170" s="2"/>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2"/>
      <c r="J171" s="2"/>
      <c r="K171" s="1"/>
      <c r="L171" s="2"/>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2"/>
      <c r="J172" s="2"/>
      <c r="K172" s="1"/>
      <c r="L172" s="2"/>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2"/>
      <c r="J173" s="2"/>
      <c r="K173" s="1"/>
      <c r="L173" s="2"/>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2"/>
      <c r="J174" s="2"/>
      <c r="K174" s="1"/>
      <c r="L174" s="2"/>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2"/>
      <c r="J175" s="2"/>
      <c r="K175" s="1"/>
      <c r="L175" s="2"/>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2"/>
      <c r="J176" s="2"/>
      <c r="K176" s="1"/>
      <c r="L176" s="2"/>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2"/>
      <c r="J177" s="2"/>
      <c r="K177" s="1"/>
      <c r="L177" s="2"/>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2"/>
      <c r="J178" s="2"/>
      <c r="K178" s="1"/>
      <c r="L178" s="2"/>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2"/>
      <c r="J179" s="2"/>
      <c r="K179" s="1"/>
      <c r="L179" s="2"/>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2"/>
      <c r="J180" s="2"/>
      <c r="K180" s="1"/>
      <c r="L180" s="2"/>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2"/>
      <c r="J181" s="2"/>
      <c r="K181" s="1"/>
      <c r="L181" s="2"/>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2"/>
      <c r="J182" s="2"/>
      <c r="K182" s="1"/>
      <c r="L182" s="2"/>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2"/>
      <c r="J183" s="2"/>
      <c r="K183" s="1"/>
      <c r="L183" s="2"/>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2"/>
      <c r="J184" s="2"/>
      <c r="K184" s="1"/>
      <c r="L184" s="2"/>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2"/>
      <c r="J185" s="2"/>
      <c r="K185" s="1"/>
      <c r="L185" s="2"/>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2"/>
      <c r="J186" s="2"/>
      <c r="K186" s="1"/>
      <c r="L186" s="2"/>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2"/>
      <c r="J187" s="2"/>
      <c r="K187" s="1"/>
      <c r="L187" s="2"/>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2"/>
      <c r="J188" s="2"/>
      <c r="K188" s="1"/>
      <c r="L188" s="2"/>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2"/>
      <c r="J189" s="2"/>
      <c r="K189" s="1"/>
      <c r="L189" s="2"/>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2"/>
      <c r="J190" s="2"/>
      <c r="K190" s="1"/>
      <c r="L190" s="2"/>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2"/>
      <c r="J191" s="2"/>
      <c r="K191" s="1"/>
      <c r="L191" s="2"/>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2"/>
      <c r="J192" s="2"/>
      <c r="K192" s="1"/>
      <c r="L192" s="2"/>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2"/>
      <c r="J193" s="2"/>
      <c r="K193" s="1"/>
      <c r="L193" s="2"/>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2"/>
      <c r="J194" s="2"/>
      <c r="K194" s="1"/>
      <c r="L194" s="2"/>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2"/>
      <c r="J195" s="2"/>
      <c r="K195" s="1"/>
      <c r="L195" s="2"/>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2"/>
      <c r="J196" s="2"/>
      <c r="K196" s="1"/>
      <c r="L196" s="2"/>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2"/>
      <c r="J197" s="2"/>
      <c r="K197" s="1"/>
      <c r="L197" s="2"/>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2"/>
      <c r="J198" s="2"/>
      <c r="K198" s="1"/>
      <c r="L198" s="2"/>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2"/>
      <c r="J199" s="2"/>
      <c r="K199" s="1"/>
      <c r="L199" s="2"/>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2"/>
      <c r="J200" s="2"/>
      <c r="K200" s="1"/>
      <c r="L200" s="2"/>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2"/>
      <c r="J201" s="2"/>
      <c r="K201" s="1"/>
      <c r="L201" s="2"/>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2"/>
      <c r="J202" s="2"/>
      <c r="K202" s="1"/>
      <c r="L202" s="2"/>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2"/>
      <c r="J203" s="2"/>
      <c r="K203" s="1"/>
      <c r="L203" s="2"/>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2"/>
      <c r="J204" s="2"/>
      <c r="K204" s="1"/>
      <c r="L204" s="2"/>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2"/>
      <c r="J205" s="2"/>
      <c r="K205" s="1"/>
      <c r="L205" s="2"/>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2"/>
      <c r="J206" s="2"/>
      <c r="K206" s="1"/>
      <c r="L206" s="2"/>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2"/>
      <c r="J207" s="2"/>
      <c r="K207" s="1"/>
      <c r="L207" s="2"/>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2"/>
      <c r="J208" s="2"/>
      <c r="K208" s="1"/>
      <c r="L208" s="2"/>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2"/>
      <c r="J209" s="2"/>
      <c r="K209" s="1"/>
      <c r="L209" s="2"/>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2"/>
      <c r="J210" s="2"/>
      <c r="K210" s="1"/>
      <c r="L210" s="2"/>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2"/>
      <c r="J211" s="2"/>
      <c r="K211" s="1"/>
      <c r="L211" s="2"/>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2"/>
      <c r="J212" s="2"/>
      <c r="K212" s="1"/>
      <c r="L212" s="2"/>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2"/>
      <c r="J213" s="2"/>
      <c r="K213" s="1"/>
      <c r="L213" s="2"/>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2"/>
      <c r="J214" s="2"/>
      <c r="K214" s="1"/>
      <c r="L214" s="2"/>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2"/>
      <c r="J215" s="2"/>
      <c r="K215" s="1"/>
      <c r="L215" s="2"/>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2"/>
      <c r="J216" s="2"/>
      <c r="K216" s="1"/>
      <c r="L216" s="2"/>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2"/>
      <c r="J217" s="2"/>
      <c r="K217" s="1"/>
      <c r="L217" s="2"/>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2"/>
      <c r="J218" s="2"/>
      <c r="K218" s="1"/>
      <c r="L218" s="2"/>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2"/>
      <c r="J219" s="2"/>
      <c r="K219" s="1"/>
      <c r="L219" s="2"/>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2"/>
      <c r="J220" s="2"/>
      <c r="K220" s="1"/>
      <c r="L220" s="2"/>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2"/>
      <c r="J221" s="2"/>
      <c r="K221" s="1"/>
      <c r="L221" s="2"/>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2"/>
      <c r="J222" s="2"/>
      <c r="K222" s="1"/>
      <c r="L222" s="2"/>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2"/>
      <c r="J223" s="2"/>
      <c r="K223" s="1"/>
      <c r="L223" s="2"/>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2"/>
      <c r="J224" s="2"/>
      <c r="K224" s="1"/>
      <c r="L224" s="2"/>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2"/>
      <c r="J225" s="2"/>
      <c r="K225" s="1"/>
      <c r="L225" s="2"/>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2"/>
      <c r="J226" s="2"/>
      <c r="K226" s="1"/>
      <c r="L226" s="2"/>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2"/>
      <c r="J227" s="2"/>
      <c r="K227" s="1"/>
      <c r="L227" s="2"/>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2"/>
      <c r="J228" s="2"/>
      <c r="K228" s="1"/>
      <c r="L228" s="2"/>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2"/>
      <c r="J229" s="2"/>
      <c r="K229" s="1"/>
      <c r="L229" s="2"/>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2"/>
      <c r="J230" s="2"/>
      <c r="K230" s="1"/>
      <c r="L230" s="2"/>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2"/>
      <c r="J231" s="2"/>
      <c r="K231" s="1"/>
      <c r="L231" s="2"/>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2"/>
      <c r="J232" s="2"/>
      <c r="K232" s="1"/>
      <c r="L232" s="2"/>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2"/>
      <c r="J233" s="2"/>
      <c r="K233" s="1"/>
      <c r="L233" s="2"/>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2"/>
      <c r="J234" s="2"/>
      <c r="K234" s="1"/>
      <c r="L234" s="2"/>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2"/>
      <c r="J235" s="2"/>
      <c r="K235" s="1"/>
      <c r="L235" s="2"/>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2"/>
      <c r="J236" s="2"/>
      <c r="K236" s="1"/>
      <c r="L236" s="2"/>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2"/>
      <c r="J237" s="2"/>
      <c r="K237" s="1"/>
      <c r="L237" s="2"/>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2"/>
      <c r="J238" s="2"/>
      <c r="K238" s="1"/>
      <c r="L238" s="2"/>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2"/>
      <c r="J239" s="2"/>
      <c r="K239" s="1"/>
      <c r="L239" s="2"/>
      <c r="M239" s="1"/>
      <c r="N239" s="1"/>
      <c r="O239" s="1"/>
      <c r="P239" s="1"/>
      <c r="Q239" s="1"/>
      <c r="R239" s="1"/>
      <c r="S239" s="1"/>
      <c r="T239" s="1"/>
      <c r="U239" s="1"/>
      <c r="V239" s="1"/>
      <c r="W239" s="1"/>
      <c r="X239" s="1"/>
      <c r="Y239" s="1"/>
      <c r="Z239" s="1"/>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ht="15.7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sheetData>
  <mergeCells count="1">
    <mergeCell ref="B2:O2"/>
  </mergeCells>
  <conditionalFormatting sqref="K5:K22 L5:L30">
    <cfRule type="colorScale" priority="1">
      <colorScale>
        <cfvo type="min"/>
        <cfvo type="max"/>
        <color rgb="FF57BB8A"/>
        <color rgb="FFFFFFFF"/>
      </colorScale>
    </cfRule>
  </conditionalFormatting>
  <conditionalFormatting sqref="L11:L18 L20:L24">
    <cfRule type="colorScale" priority="2">
      <colorScale>
        <cfvo type="min"/>
        <cfvo type="max"/>
        <color rgb="FF57BB8A"/>
        <color rgb="FFFFFFFF"/>
      </colorScale>
    </cfRule>
  </conditionalFormatting>
  <conditionalFormatting sqref="L9 L13 L18 L22">
    <cfRule type="colorScale" priority="3">
      <colorScale>
        <cfvo type="min"/>
        <cfvo type="max"/>
        <color rgb="FF57BB8A"/>
        <color rgb="FFFFFFFF"/>
      </colorScale>
    </cfRule>
  </conditionalFormatting>
  <dataValidations>
    <dataValidation type="list" allowBlank="1" showErrorMessage="1" sqref="H5:H30">
      <formula1>"Carlos Ñato,Juan Granda,David Cepeda"</formula1>
    </dataValidation>
    <dataValidation type="list" allowBlank="1" showErrorMessage="1" sqref="L5:L30">
      <formula1>$K$36:$K$39</formula1>
    </dataValidation>
    <dataValidation type="list" allowBlank="1" showErrorMessage="1" sqref="K5:K22">
      <formula1>"Obligatorio,Conveniente"</formula1>
    </dataValidation>
    <dataValidation type="list" allowBlank="1" showErrorMessage="1" sqref="K23:K30">
      <formula1>$J$36:$J$38</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4"/>
      <c r="D4" s="24"/>
      <c r="E4" s="24"/>
      <c r="F4" s="25"/>
    </row>
    <row r="5" hidden="1">
      <c r="C5" s="24"/>
      <c r="D5" s="24"/>
      <c r="E5" s="24"/>
      <c r="F5" s="25"/>
    </row>
    <row r="6" ht="39.75" customHeight="1">
      <c r="B6" s="26" t="s">
        <v>235</v>
      </c>
      <c r="C6" s="4"/>
      <c r="D6" s="4"/>
      <c r="E6" s="4"/>
      <c r="F6" s="4"/>
      <c r="G6" s="4"/>
      <c r="H6" s="4"/>
      <c r="I6" s="4"/>
      <c r="J6" s="4"/>
      <c r="K6" s="4"/>
      <c r="L6" s="4"/>
      <c r="M6" s="4"/>
      <c r="N6" s="4"/>
      <c r="O6" s="4"/>
      <c r="P6" s="5"/>
    </row>
    <row r="7" ht="9.75" customHeight="1">
      <c r="A7" s="27"/>
      <c r="B7" s="27"/>
      <c r="C7" s="28"/>
      <c r="D7" s="28"/>
      <c r="E7" s="28"/>
      <c r="F7" s="28"/>
      <c r="G7" s="28"/>
      <c r="H7" s="28"/>
      <c r="I7" s="28"/>
      <c r="J7" s="28"/>
      <c r="K7" s="28"/>
      <c r="L7" s="28"/>
      <c r="M7" s="28"/>
      <c r="N7" s="28"/>
      <c r="O7" s="28"/>
      <c r="P7" s="27"/>
      <c r="Q7" s="27"/>
      <c r="R7" s="27"/>
      <c r="S7" s="27"/>
      <c r="T7" s="27"/>
      <c r="U7" s="27"/>
      <c r="V7" s="27"/>
      <c r="W7" s="27"/>
      <c r="X7" s="27"/>
      <c r="Y7" s="27"/>
      <c r="Z7" s="27"/>
    </row>
    <row r="8" ht="9.75" customHeight="1">
      <c r="B8" s="29"/>
      <c r="C8" s="30"/>
      <c r="D8" s="30"/>
      <c r="E8" s="30"/>
      <c r="F8" s="31"/>
      <c r="G8" s="32"/>
      <c r="H8" s="32"/>
      <c r="I8" s="32"/>
      <c r="J8" s="32"/>
      <c r="K8" s="32"/>
      <c r="L8" s="32"/>
      <c r="M8" s="32"/>
      <c r="N8" s="32"/>
      <c r="O8" s="32"/>
      <c r="P8" s="33"/>
      <c r="Q8" s="27"/>
    </row>
    <row r="9" ht="30.0" customHeight="1">
      <c r="B9" s="34"/>
      <c r="C9" s="35" t="s">
        <v>1</v>
      </c>
      <c r="D9" s="36"/>
      <c r="E9" s="37" t="s">
        <v>236</v>
      </c>
      <c r="F9" s="5"/>
      <c r="G9" s="36"/>
      <c r="H9" s="37" t="s">
        <v>11</v>
      </c>
      <c r="I9" s="5"/>
      <c r="J9" s="38"/>
      <c r="K9" s="38"/>
      <c r="L9" s="38"/>
      <c r="M9" s="38"/>
      <c r="N9" s="38"/>
      <c r="O9" s="38"/>
      <c r="P9" s="39"/>
      <c r="Q9" s="27"/>
    </row>
    <row r="10" ht="30.0" customHeight="1">
      <c r="B10" s="34"/>
      <c r="C10" s="40" t="s">
        <v>15</v>
      </c>
      <c r="D10" s="41"/>
      <c r="E10" s="42" t="str">
        <f>VLOOKUP(C10,'Formato descripción HU'!B5:O22,5,0)</f>
        <v>Padre/Docente</v>
      </c>
      <c r="F10" s="5"/>
      <c r="G10" s="43"/>
      <c r="H10" s="42" t="str">
        <f>VLOOKUP(C10,'Formato descripción HU'!B5:O22,11,0)</f>
        <v>No iniciado</v>
      </c>
      <c r="I10" s="5"/>
      <c r="J10" s="43"/>
      <c r="K10" s="38"/>
      <c r="L10" s="38"/>
      <c r="M10" s="38"/>
      <c r="N10" s="38"/>
      <c r="O10" s="38"/>
      <c r="P10" s="39"/>
      <c r="Q10" s="27"/>
    </row>
    <row r="11" ht="9.75" customHeight="1">
      <c r="A11" s="27"/>
      <c r="B11" s="34"/>
      <c r="C11" s="44"/>
      <c r="D11" s="41"/>
      <c r="E11" s="45"/>
      <c r="F11" s="45"/>
      <c r="G11" s="43"/>
      <c r="H11" s="45"/>
      <c r="I11" s="45"/>
      <c r="J11" s="43"/>
      <c r="K11" s="45"/>
      <c r="L11" s="45"/>
      <c r="M11" s="38"/>
      <c r="N11" s="45"/>
      <c r="O11" s="45"/>
      <c r="P11" s="39"/>
      <c r="Q11" s="27"/>
      <c r="R11" s="27"/>
      <c r="S11" s="27"/>
      <c r="T11" s="27"/>
      <c r="U11" s="27"/>
      <c r="V11" s="27"/>
      <c r="W11" s="27"/>
      <c r="X11" s="27"/>
      <c r="Y11" s="27"/>
      <c r="Z11" s="27"/>
    </row>
    <row r="12" ht="30.0" customHeight="1">
      <c r="A12" s="27"/>
      <c r="B12" s="34"/>
      <c r="C12" s="35" t="s">
        <v>237</v>
      </c>
      <c r="D12" s="41"/>
      <c r="E12" s="37" t="s">
        <v>10</v>
      </c>
      <c r="F12" s="5"/>
      <c r="G12" s="43"/>
      <c r="H12" s="37" t="s">
        <v>238</v>
      </c>
      <c r="I12" s="5"/>
      <c r="J12" s="43"/>
      <c r="K12" s="45"/>
      <c r="L12" s="45"/>
      <c r="M12" s="38"/>
      <c r="N12" s="45"/>
      <c r="O12" s="45"/>
      <c r="P12" s="39"/>
      <c r="Q12" s="27"/>
      <c r="R12" s="27"/>
      <c r="S12" s="27"/>
      <c r="T12" s="27"/>
      <c r="U12" s="27"/>
      <c r="V12" s="27"/>
      <c r="W12" s="27"/>
      <c r="X12" s="27"/>
      <c r="Y12" s="27"/>
      <c r="Z12" s="27"/>
    </row>
    <row r="13" ht="30.0" customHeight="1">
      <c r="A13" s="27"/>
      <c r="B13" s="34"/>
      <c r="C13" s="46">
        <f>VLOOKUP('Historia de Usuario'!C10,'Formato descripción HU'!B5:O22,8,0)</f>
        <v>8</v>
      </c>
      <c r="D13" s="41"/>
      <c r="E13" s="42" t="str">
        <f>VLOOKUP(C10,'Formato descripción HU'!B5:O22,10,0)</f>
        <v>Obligatorio</v>
      </c>
      <c r="F13" s="5"/>
      <c r="G13" s="43"/>
      <c r="H13" s="42" t="str">
        <f>VLOOKUP(C10,'Formato descripción HU'!B5:O22,7,0)</f>
        <v>Juan Granda</v>
      </c>
      <c r="I13" s="5"/>
      <c r="J13" s="43"/>
      <c r="K13" s="45"/>
      <c r="L13" s="45"/>
      <c r="M13" s="38"/>
      <c r="N13" s="45"/>
      <c r="O13" s="45"/>
      <c r="P13" s="39"/>
      <c r="Q13" s="27"/>
      <c r="R13" s="27"/>
      <c r="S13" s="27"/>
      <c r="T13" s="27"/>
      <c r="U13" s="27"/>
      <c r="V13" s="27"/>
      <c r="W13" s="27"/>
      <c r="X13" s="27"/>
      <c r="Y13" s="27"/>
      <c r="Z13" s="27"/>
    </row>
    <row r="14" ht="9.75" customHeight="1">
      <c r="A14" s="27"/>
      <c r="B14" s="34"/>
      <c r="C14" s="38"/>
      <c r="D14" s="41"/>
      <c r="E14" s="38"/>
      <c r="F14" s="38"/>
      <c r="G14" s="43"/>
      <c r="H14" s="43"/>
      <c r="I14" s="38"/>
      <c r="J14" s="38"/>
      <c r="K14" s="38"/>
      <c r="L14" s="38"/>
      <c r="M14" s="38"/>
      <c r="N14" s="38"/>
      <c r="O14" s="38"/>
      <c r="P14" s="39"/>
      <c r="Q14" s="27"/>
      <c r="R14" s="27"/>
      <c r="S14" s="27"/>
      <c r="T14" s="27"/>
      <c r="U14" s="27"/>
      <c r="V14" s="27"/>
      <c r="W14" s="27"/>
      <c r="X14" s="27"/>
      <c r="Y14" s="27"/>
      <c r="Z14" s="27"/>
    </row>
    <row r="15" ht="19.5" customHeight="1">
      <c r="A15" s="27"/>
      <c r="B15" s="34"/>
      <c r="C15" s="47" t="s">
        <v>239</v>
      </c>
      <c r="D15" s="48" t="str">
        <f>VLOOKUP(C10,'Formato descripción HU'!B5:O22,3,0)</f>
        <v>Permitir que el usuario se registre y acceda a las funcionalidades</v>
      </c>
      <c r="E15" s="49"/>
      <c r="F15" s="50"/>
      <c r="G15" s="47" t="s">
        <v>240</v>
      </c>
      <c r="H15" s="48" t="str">
        <f>VLOOKUP(C10,'Formato descripción HU'!B5:O22,4,0)</f>
        <v>Para que el usuario conste en el registro del sistema y pueda acceder a la información o funcionalidades del sistema.</v>
      </c>
      <c r="I15" s="51"/>
      <c r="J15" s="49"/>
      <c r="K15" s="50"/>
      <c r="L15" s="47" t="s">
        <v>241</v>
      </c>
      <c r="M15" s="52" t="str">
        <f>VLOOKUP(C10,'Formato descripción HU'!B5:O22,6,0)</f>
        <v>1. El actor accede a la aplicación
2. El actor accede a registrarse en la aplicación
3. El actor ingresa los campos requeridos para el registro, los cuales son: nombre, correo electrónico, contraseña, fecha de nacimiento y rol.
4. El sistema valida los campos ingresados por el actor.
5. El sistema guarda los datos  de los campos ingresados por el actor en la base de datos.</v>
      </c>
      <c r="N15" s="51"/>
      <c r="O15" s="49"/>
      <c r="P15" s="39"/>
      <c r="Q15" s="27"/>
      <c r="R15" s="27"/>
      <c r="S15" s="27"/>
      <c r="T15" s="27"/>
      <c r="U15" s="27"/>
      <c r="V15" s="27"/>
      <c r="W15" s="27"/>
      <c r="X15" s="27"/>
      <c r="Y15" s="27"/>
      <c r="Z15" s="27"/>
    </row>
    <row r="16" ht="19.5" customHeight="1">
      <c r="A16" s="27"/>
      <c r="B16" s="34"/>
      <c r="C16" s="53"/>
      <c r="D16" s="54"/>
      <c r="E16" s="55"/>
      <c r="F16" s="50"/>
      <c r="G16" s="53"/>
      <c r="H16" s="54"/>
      <c r="J16" s="55"/>
      <c r="K16" s="50"/>
      <c r="L16" s="53"/>
      <c r="M16" s="54"/>
      <c r="O16" s="55"/>
      <c r="P16" s="39"/>
      <c r="Q16" s="27"/>
      <c r="R16" s="27"/>
      <c r="S16" s="27"/>
      <c r="T16" s="27"/>
      <c r="U16" s="27"/>
      <c r="V16" s="27"/>
      <c r="W16" s="27"/>
      <c r="X16" s="27"/>
      <c r="Y16" s="27"/>
      <c r="Z16" s="27"/>
    </row>
    <row r="17" ht="19.5" customHeight="1">
      <c r="A17" s="27"/>
      <c r="B17" s="34"/>
      <c r="C17" s="56"/>
      <c r="D17" s="57"/>
      <c r="E17" s="58"/>
      <c r="F17" s="50"/>
      <c r="G17" s="56"/>
      <c r="H17" s="57"/>
      <c r="I17" s="59"/>
      <c r="J17" s="58"/>
      <c r="K17" s="50"/>
      <c r="L17" s="56"/>
      <c r="M17" s="57"/>
      <c r="N17" s="59"/>
      <c r="O17" s="58"/>
      <c r="P17" s="39"/>
      <c r="Q17" s="27"/>
      <c r="R17" s="27"/>
      <c r="S17" s="27"/>
      <c r="T17" s="27"/>
      <c r="U17" s="27"/>
      <c r="V17" s="27"/>
      <c r="W17" s="27"/>
      <c r="X17" s="27"/>
      <c r="Y17" s="27"/>
      <c r="Z17" s="27"/>
    </row>
    <row r="18" ht="9.75" customHeight="1">
      <c r="A18" s="27"/>
      <c r="B18" s="34"/>
      <c r="C18" s="38"/>
      <c r="D18" s="38"/>
      <c r="E18" s="38"/>
      <c r="F18" s="38"/>
      <c r="G18" s="43"/>
      <c r="H18" s="43"/>
      <c r="I18" s="43"/>
      <c r="J18" s="38"/>
      <c r="K18" s="38"/>
      <c r="L18" s="38"/>
      <c r="M18" s="38"/>
      <c r="N18" s="38"/>
      <c r="O18" s="38"/>
      <c r="P18" s="39"/>
      <c r="Q18" s="27"/>
      <c r="R18" s="27"/>
      <c r="S18" s="27"/>
      <c r="T18" s="27"/>
      <c r="U18" s="27"/>
      <c r="V18" s="27"/>
      <c r="W18" s="27"/>
      <c r="X18" s="27"/>
      <c r="Y18" s="27"/>
      <c r="Z18" s="27"/>
    </row>
    <row r="19" ht="19.5" customHeight="1">
      <c r="B19" s="34"/>
      <c r="C19" s="60" t="s">
        <v>242</v>
      </c>
      <c r="D19" s="49"/>
      <c r="E19" s="61" t="str">
        <f>VLOOKUP(C10,'Formato descripción HU'!B5:O22,14,0)</f>
        <v>Registrar usuario</v>
      </c>
      <c r="F19" s="62"/>
      <c r="G19" s="62"/>
      <c r="H19" s="62"/>
      <c r="I19" s="62"/>
      <c r="J19" s="62"/>
      <c r="K19" s="62"/>
      <c r="L19" s="62"/>
      <c r="M19" s="62"/>
      <c r="N19" s="62"/>
      <c r="O19" s="63"/>
      <c r="P19" s="39"/>
      <c r="Q19" s="27"/>
    </row>
    <row r="20" ht="19.5" customHeight="1">
      <c r="B20" s="34"/>
      <c r="C20" s="57"/>
      <c r="D20" s="58"/>
      <c r="E20" s="64"/>
      <c r="F20" s="65"/>
      <c r="G20" s="65"/>
      <c r="H20" s="65"/>
      <c r="I20" s="65"/>
      <c r="J20" s="65"/>
      <c r="K20" s="65"/>
      <c r="L20" s="65"/>
      <c r="M20" s="65"/>
      <c r="N20" s="65"/>
      <c r="O20" s="66"/>
      <c r="P20" s="39"/>
      <c r="Q20" s="27"/>
    </row>
    <row r="21" ht="9.75" customHeight="1">
      <c r="B21" s="34"/>
      <c r="C21" s="38"/>
      <c r="D21" s="38"/>
      <c r="E21" s="38"/>
      <c r="F21" s="38"/>
      <c r="G21" s="38"/>
      <c r="H21" s="38"/>
      <c r="I21" s="38"/>
      <c r="J21" s="38"/>
      <c r="K21" s="38"/>
      <c r="L21" s="38"/>
      <c r="M21" s="38"/>
      <c r="N21" s="38"/>
      <c r="O21" s="38"/>
      <c r="P21" s="39"/>
      <c r="Q21" s="27"/>
    </row>
    <row r="22" ht="19.5" customHeight="1">
      <c r="A22" s="27"/>
      <c r="B22" s="34"/>
      <c r="C22" s="67" t="s">
        <v>243</v>
      </c>
      <c r="D22" s="49"/>
      <c r="E22" s="68" t="str">
        <f>VLOOKUP(C10,'Formato descripción HU'!B5:O22,12,0)</f>
        <v>-El actor ingresa los campos requeridos para el registro, los cuales son: nombre, correo electrónico, contraseña, fecha de nacimiento y rol.
-El sistema valida los campos ingresados por el actor.
-El sistema guarda los datos  de los campos ingresados por el actor en la base de datos.</v>
      </c>
      <c r="F22" s="51"/>
      <c r="G22" s="51"/>
      <c r="H22" s="49"/>
      <c r="I22" s="38"/>
      <c r="J22" s="67" t="s">
        <v>13</v>
      </c>
      <c r="K22" s="49"/>
      <c r="L22" s="48" t="str">
        <f>VLOOKUP(C10,'Formato descripción HU'!B5:O22,13,0)</f>
        <v>Requisito base para todo el sistema. Sin registro no se habilitan perfiles ni seguimiento. Debe cumplir estándares de seguridad y validación sólida.</v>
      </c>
      <c r="M22" s="51"/>
      <c r="N22" s="51"/>
      <c r="O22" s="49"/>
      <c r="P22" s="39"/>
      <c r="Q22" s="27"/>
      <c r="R22" s="27"/>
      <c r="S22" s="27"/>
      <c r="T22" s="27"/>
      <c r="U22" s="27"/>
      <c r="V22" s="27"/>
      <c r="W22" s="27"/>
      <c r="X22" s="27"/>
      <c r="Y22" s="27"/>
      <c r="Z22" s="27"/>
    </row>
    <row r="23" ht="19.5" customHeight="1">
      <c r="A23" s="27"/>
      <c r="B23" s="34"/>
      <c r="C23" s="54"/>
      <c r="D23" s="55"/>
      <c r="E23" s="54"/>
      <c r="H23" s="55"/>
      <c r="I23" s="38"/>
      <c r="J23" s="54"/>
      <c r="K23" s="55"/>
      <c r="L23" s="54"/>
      <c r="O23" s="55"/>
      <c r="P23" s="39"/>
      <c r="Q23" s="27"/>
      <c r="R23" s="27"/>
      <c r="S23" s="27"/>
      <c r="T23" s="27"/>
      <c r="U23" s="27"/>
      <c r="V23" s="27"/>
      <c r="W23" s="27"/>
      <c r="X23" s="27"/>
      <c r="Y23" s="27"/>
      <c r="Z23" s="27"/>
    </row>
    <row r="24" ht="19.5" customHeight="1">
      <c r="A24" s="27"/>
      <c r="B24" s="34"/>
      <c r="C24" s="57"/>
      <c r="D24" s="58"/>
      <c r="E24" s="57"/>
      <c r="F24" s="59"/>
      <c r="G24" s="59"/>
      <c r="H24" s="58"/>
      <c r="I24" s="38"/>
      <c r="J24" s="57"/>
      <c r="K24" s="58"/>
      <c r="L24" s="57"/>
      <c r="M24" s="59"/>
      <c r="N24" s="59"/>
      <c r="O24" s="58"/>
      <c r="P24" s="39"/>
      <c r="Q24" s="27"/>
      <c r="R24" s="27"/>
      <c r="S24" s="27"/>
      <c r="T24" s="27"/>
      <c r="U24" s="27"/>
      <c r="V24" s="27"/>
      <c r="W24" s="27"/>
      <c r="X24" s="27"/>
      <c r="Y24" s="27"/>
      <c r="Z24" s="27"/>
    </row>
    <row r="25" ht="9.75" customHeight="1">
      <c r="A25" s="27"/>
      <c r="B25" s="69"/>
      <c r="C25" s="70"/>
      <c r="D25" s="70"/>
      <c r="E25" s="70"/>
      <c r="F25" s="70"/>
      <c r="G25" s="70"/>
      <c r="H25" s="70"/>
      <c r="I25" s="70"/>
      <c r="J25" s="70"/>
      <c r="K25" s="70"/>
      <c r="L25" s="70"/>
      <c r="M25" s="70"/>
      <c r="N25" s="70"/>
      <c r="O25" s="70"/>
      <c r="P25" s="71"/>
      <c r="Q25" s="27"/>
      <c r="R25" s="27"/>
      <c r="S25" s="27"/>
      <c r="T25" s="27"/>
      <c r="U25" s="27"/>
      <c r="V25" s="27"/>
      <c r="W25" s="27"/>
      <c r="X25" s="27"/>
      <c r="Y25" s="27"/>
      <c r="Z25" s="27"/>
    </row>
    <row r="26" ht="19.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9.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9.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9.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9.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9.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9.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9.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9.5" customHeight="1">
      <c r="C34" s="27"/>
      <c r="D34" s="27"/>
      <c r="E34" s="27"/>
      <c r="F34" s="27"/>
      <c r="G34" s="27"/>
      <c r="H34" s="27"/>
      <c r="I34" s="27"/>
      <c r="J34" s="27"/>
      <c r="K34" s="27"/>
      <c r="L34" s="27"/>
      <c r="M34" s="27"/>
      <c r="N34" s="27"/>
      <c r="O34" s="27"/>
      <c r="P34" s="27"/>
    </row>
    <row r="35" ht="19.5" customHeight="1">
      <c r="C35" s="27"/>
      <c r="D35" s="27"/>
      <c r="E35" s="27"/>
      <c r="F35" s="27"/>
      <c r="G35" s="27"/>
      <c r="H35" s="27"/>
      <c r="I35" s="27"/>
      <c r="J35" s="27"/>
      <c r="K35" s="27"/>
      <c r="L35" s="27"/>
      <c r="M35" s="27"/>
      <c r="N35" s="27"/>
      <c r="O35" s="27"/>
      <c r="P35" s="27"/>
    </row>
    <row r="36" ht="19.5" customHeight="1">
      <c r="C36" s="27"/>
      <c r="D36" s="27"/>
      <c r="E36" s="27"/>
      <c r="F36" s="27"/>
      <c r="G36" s="27"/>
      <c r="H36" s="27"/>
      <c r="I36" s="27"/>
      <c r="J36" s="27"/>
      <c r="K36" s="27"/>
      <c r="L36" s="27"/>
      <c r="M36" s="27"/>
      <c r="N36" s="27"/>
      <c r="O36" s="27"/>
      <c r="P36" s="27"/>
    </row>
    <row r="37" ht="19.5" customHeight="1">
      <c r="C37" s="27"/>
      <c r="D37" s="27"/>
      <c r="E37" s="27"/>
      <c r="F37" s="27"/>
      <c r="G37" s="27"/>
      <c r="H37" s="27"/>
      <c r="I37" s="27"/>
      <c r="J37" s="27"/>
      <c r="K37" s="27"/>
      <c r="L37" s="27"/>
      <c r="M37" s="27"/>
      <c r="N37" s="27"/>
      <c r="O37" s="27"/>
      <c r="P37" s="27"/>
    </row>
    <row r="38" ht="19.5" customHeight="1">
      <c r="C38" s="27"/>
      <c r="D38" s="27"/>
      <c r="E38" s="27"/>
      <c r="F38" s="27"/>
      <c r="G38" s="27"/>
      <c r="H38" s="27"/>
      <c r="I38" s="27"/>
      <c r="J38" s="27"/>
      <c r="K38" s="27"/>
      <c r="L38" s="27"/>
      <c r="M38" s="27"/>
      <c r="N38" s="27"/>
      <c r="O38" s="27"/>
      <c r="P38" s="27"/>
    </row>
    <row r="39" ht="19.5" customHeight="1">
      <c r="C39" s="27"/>
      <c r="D39" s="27"/>
      <c r="E39" s="27"/>
      <c r="F39" s="27"/>
      <c r="G39" s="27"/>
      <c r="H39" s="27"/>
      <c r="I39" s="27"/>
      <c r="J39" s="27"/>
      <c r="K39" s="27"/>
      <c r="L39" s="27"/>
      <c r="M39" s="27"/>
      <c r="N39" s="27"/>
      <c r="O39" s="27"/>
      <c r="P39" s="27"/>
    </row>
    <row r="40" ht="19.5" customHeight="1">
      <c r="F40" s="27"/>
      <c r="G40" s="27"/>
      <c r="H40" s="27"/>
      <c r="I40" s="27"/>
      <c r="J40" s="27"/>
      <c r="K40" s="27"/>
      <c r="L40" s="27"/>
      <c r="M40" s="27"/>
      <c r="N40" s="27"/>
      <c r="O40" s="27"/>
      <c r="P40" s="27"/>
    </row>
    <row r="41" ht="19.5" customHeight="1">
      <c r="C41" s="27"/>
      <c r="D41" s="27"/>
      <c r="E41" s="27"/>
      <c r="F41" s="27"/>
      <c r="G41" s="27"/>
      <c r="H41" s="27"/>
      <c r="I41" s="27"/>
      <c r="J41" s="27"/>
      <c r="K41" s="27"/>
      <c r="L41" s="27"/>
      <c r="M41" s="27"/>
      <c r="N41" s="27"/>
      <c r="O41" s="27"/>
      <c r="P41" s="27"/>
    </row>
    <row r="42" ht="19.5" customHeight="1">
      <c r="C42" s="27"/>
      <c r="D42" s="27"/>
      <c r="E42" s="27"/>
      <c r="F42" s="27"/>
      <c r="G42" s="27"/>
      <c r="H42" s="27"/>
      <c r="I42" s="27"/>
      <c r="J42" s="27"/>
      <c r="K42" s="27"/>
      <c r="L42" s="27"/>
      <c r="M42" s="27"/>
      <c r="N42" s="27"/>
      <c r="O42" s="27"/>
      <c r="P42" s="27"/>
    </row>
    <row r="43" ht="19.5" customHeight="1">
      <c r="C43" s="27"/>
      <c r="D43" s="27"/>
      <c r="E43" s="27"/>
      <c r="F43" s="27"/>
      <c r="G43" s="27"/>
      <c r="H43" s="27"/>
      <c r="I43" s="27"/>
      <c r="J43" s="27"/>
      <c r="K43" s="27"/>
      <c r="L43" s="27"/>
      <c r="M43" s="27"/>
      <c r="N43" s="27"/>
      <c r="O43" s="27"/>
      <c r="P43" s="27"/>
    </row>
    <row r="44" ht="19.5" customHeight="1">
      <c r="C44" s="27"/>
      <c r="D44" s="27"/>
      <c r="E44" s="27"/>
      <c r="F44" s="27"/>
      <c r="G44" s="27"/>
      <c r="H44" s="27"/>
      <c r="I44" s="27"/>
      <c r="J44" s="27"/>
      <c r="K44" s="27"/>
      <c r="L44" s="27"/>
      <c r="M44" s="27"/>
      <c r="N44" s="27"/>
      <c r="O44" s="27"/>
      <c r="P44" s="27"/>
    </row>
    <row r="45" ht="19.5" customHeight="1">
      <c r="C45" s="27"/>
      <c r="D45" s="27"/>
      <c r="E45" s="27"/>
      <c r="F45" s="27"/>
      <c r="G45" s="27"/>
      <c r="H45" s="27"/>
      <c r="I45" s="27"/>
      <c r="J45" s="27"/>
      <c r="K45" s="27"/>
      <c r="L45" s="27"/>
      <c r="M45" s="27"/>
      <c r="N45" s="27"/>
      <c r="O45" s="27"/>
      <c r="P45" s="27"/>
    </row>
    <row r="46" ht="19.5" customHeight="1">
      <c r="C46" s="27"/>
      <c r="D46" s="27"/>
      <c r="E46" s="27"/>
      <c r="F46" s="27"/>
      <c r="G46" s="27"/>
      <c r="H46" s="27"/>
      <c r="I46" s="27"/>
      <c r="J46" s="27"/>
      <c r="K46" s="27"/>
      <c r="L46" s="27"/>
      <c r="M46" s="27"/>
      <c r="N46" s="27"/>
      <c r="O46" s="27"/>
      <c r="P46" s="27"/>
    </row>
    <row r="47" ht="19.5" customHeight="1">
      <c r="C47" s="27"/>
      <c r="D47" s="27"/>
      <c r="E47" s="27"/>
      <c r="F47" s="27"/>
      <c r="G47" s="27"/>
      <c r="H47" s="27"/>
      <c r="I47" s="27"/>
      <c r="J47" s="27"/>
      <c r="K47" s="27"/>
      <c r="L47" s="27"/>
      <c r="M47" s="27"/>
      <c r="N47" s="27"/>
      <c r="O47" s="27"/>
      <c r="P47" s="27"/>
    </row>
    <row r="48" ht="19.5" customHeight="1">
      <c r="C48" s="27"/>
      <c r="D48" s="27"/>
      <c r="E48" s="27"/>
      <c r="F48" s="27"/>
      <c r="G48" s="27"/>
      <c r="H48" s="27"/>
      <c r="I48" s="27"/>
      <c r="J48" s="27"/>
      <c r="K48" s="27"/>
      <c r="L48" s="27"/>
      <c r="M48" s="27"/>
      <c r="N48" s="27"/>
      <c r="O48" s="27"/>
      <c r="P48" s="27"/>
    </row>
    <row r="49" ht="19.5" customHeight="1">
      <c r="C49" s="27"/>
      <c r="D49" s="27"/>
      <c r="E49" s="27"/>
      <c r="F49" s="27"/>
      <c r="G49" s="27"/>
      <c r="H49" s="27"/>
      <c r="I49" s="27"/>
      <c r="J49" s="27"/>
      <c r="K49" s="27"/>
      <c r="L49" s="27"/>
      <c r="M49" s="27"/>
      <c r="N49" s="27"/>
      <c r="O49" s="27"/>
      <c r="P49" s="27"/>
    </row>
    <row r="50" ht="19.5" customHeight="1">
      <c r="C50" s="27"/>
      <c r="D50" s="27"/>
      <c r="E50" s="27"/>
      <c r="F50" s="27"/>
      <c r="G50" s="27"/>
      <c r="H50" s="27"/>
      <c r="I50" s="27"/>
      <c r="J50" s="27"/>
      <c r="K50" s="27"/>
      <c r="L50" s="27"/>
      <c r="M50" s="27"/>
      <c r="N50" s="27"/>
      <c r="O50" s="27"/>
      <c r="P50" s="27"/>
    </row>
    <row r="51" ht="19.5" customHeight="1">
      <c r="C51" s="27"/>
      <c r="D51" s="27"/>
      <c r="E51" s="27"/>
      <c r="F51" s="27"/>
      <c r="G51" s="27"/>
      <c r="H51" s="27"/>
      <c r="I51" s="27"/>
      <c r="J51" s="27"/>
      <c r="K51" s="27"/>
      <c r="L51" s="27"/>
      <c r="M51" s="27"/>
      <c r="N51" s="27"/>
      <c r="O51" s="27"/>
      <c r="P51" s="27"/>
    </row>
    <row r="52" ht="19.5" customHeight="1">
      <c r="C52" s="27"/>
      <c r="D52" s="27"/>
      <c r="E52" s="27"/>
      <c r="F52" s="27"/>
      <c r="G52" s="27"/>
      <c r="H52" s="27"/>
      <c r="I52" s="27"/>
      <c r="J52" s="27"/>
      <c r="K52" s="27"/>
      <c r="L52" s="27"/>
      <c r="M52" s="27"/>
      <c r="N52" s="27"/>
      <c r="O52" s="27"/>
      <c r="P52" s="27"/>
    </row>
    <row r="53" ht="19.5" customHeight="1">
      <c r="C53" s="27"/>
      <c r="D53" s="27"/>
      <c r="E53" s="27"/>
      <c r="F53" s="27"/>
      <c r="G53" s="27"/>
      <c r="H53" s="27"/>
      <c r="I53" s="27"/>
      <c r="J53" s="27"/>
      <c r="K53" s="27"/>
      <c r="L53" s="27"/>
      <c r="M53" s="27"/>
      <c r="N53" s="27"/>
      <c r="O53" s="27"/>
      <c r="P53" s="27"/>
    </row>
    <row r="54" ht="19.5" customHeight="1">
      <c r="C54" s="27"/>
      <c r="D54" s="27"/>
      <c r="E54" s="27"/>
      <c r="F54" s="27"/>
      <c r="G54" s="27"/>
      <c r="H54" s="27"/>
      <c r="I54" s="27"/>
      <c r="J54" s="27"/>
      <c r="K54" s="27"/>
      <c r="L54" s="27"/>
      <c r="M54" s="27"/>
      <c r="N54" s="27"/>
      <c r="O54" s="27"/>
    </row>
    <row r="55" ht="15.75" customHeight="1">
      <c r="C55" s="27"/>
      <c r="D55" s="27"/>
      <c r="E55" s="27"/>
      <c r="F55" s="27"/>
      <c r="G55" s="27"/>
      <c r="H55" s="27"/>
      <c r="I55" s="27"/>
      <c r="J55" s="27"/>
      <c r="K55" s="27"/>
      <c r="L55" s="27"/>
      <c r="M55" s="27"/>
      <c r="N55" s="27"/>
      <c r="O55" s="27"/>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HU'!$B$5:$B$22</formula1>
    </dataValidation>
  </dataValidations>
  <printOptions horizontalCentered="1"/>
  <pageMargins bottom="0.7480314960629921" footer="0.0" header="0.0" left="0.7086614173228347" right="0.7086614173228347" top="0.7480314960629921"/>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2025-11-11T12:29:14Z</dcterms:created>
  <dc:creator>DYNABOOK</dc:creator>
</cp:coreProperties>
</file>